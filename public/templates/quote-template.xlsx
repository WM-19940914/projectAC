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inig\Desktop\"/>
    </mc:Choice>
  </mc:AlternateContent>
  <xr:revisionPtr revIDLastSave="0" documentId="13_ncr:1_{A5BDB873-87AF-415C-986D-77180EA5A972}" xr6:coauthVersionLast="47" xr6:coauthVersionMax="47" xr10:uidLastSave="{00000000-0000-0000-0000-000000000000}"/>
  <bookViews>
    <workbookView xWindow="1500" yWindow="720" windowWidth="21600" windowHeight="12450" xr2:uid="{00000000-000D-0000-FFFF-FFFF00000000}"/>
  </bookViews>
  <sheets>
    <sheet name="견적서" sheetId="1" r:id="rId1"/>
  </sheets>
  <definedNames>
    <definedName name="_xlnm.Print_Area" localSheetId="0">견적서!$A$1:$R$39</definedName>
  </definedNames>
  <calcPr calcId="181029"/>
</workbook>
</file>

<file path=xl/calcChain.xml><?xml version="1.0" encoding="utf-8"?>
<calcChain xmlns="http://schemas.openxmlformats.org/spreadsheetml/2006/main">
  <c r="W17" i="1" l="1"/>
  <c r="Z17" i="1" s="1"/>
  <c r="W16" i="1"/>
  <c r="Z16" i="1" s="1"/>
  <c r="X17" i="1" l="1"/>
  <c r="X16" i="1"/>
  <c r="W30" i="1"/>
  <c r="Z30" i="1" s="1"/>
  <c r="O30" i="1"/>
  <c r="W29" i="1"/>
  <c r="X29" i="1" s="1"/>
  <c r="O29" i="1"/>
  <c r="W28" i="1"/>
  <c r="X28" i="1" s="1"/>
  <c r="O28" i="1"/>
  <c r="W27" i="1"/>
  <c r="X27" i="1" s="1"/>
  <c r="O27" i="1"/>
  <c r="W26" i="1"/>
  <c r="X26" i="1" s="1"/>
  <c r="O26" i="1"/>
  <c r="AA29" i="1" l="1"/>
  <c r="Z27" i="1"/>
  <c r="Z28" i="1"/>
  <c r="AA28" i="1"/>
  <c r="AA26" i="1"/>
  <c r="AA27" i="1"/>
  <c r="Z29" i="1"/>
  <c r="Z26" i="1"/>
  <c r="X30" i="1"/>
  <c r="AA30" i="1" s="1"/>
  <c r="W19" i="1"/>
  <c r="Z19" i="1" s="1"/>
  <c r="W18" i="1"/>
  <c r="Z18" i="1" s="1"/>
  <c r="X18" i="1" l="1"/>
  <c r="X19" i="1"/>
  <c r="W25" i="1"/>
  <c r="Z25" i="1" s="1"/>
  <c r="O25" i="1"/>
  <c r="X25" i="1" l="1"/>
  <c r="AA25" i="1" s="1"/>
  <c r="W24" i="1" l="1"/>
  <c r="X24" i="1" s="1"/>
  <c r="O24" i="1"/>
  <c r="W23" i="1"/>
  <c r="Z23" i="1" s="1"/>
  <c r="O23" i="1"/>
  <c r="Z24" i="1" l="1"/>
  <c r="AA24" i="1"/>
  <c r="X23" i="1"/>
  <c r="AA23" i="1" s="1"/>
  <c r="W20" i="1" l="1"/>
  <c r="Z20" i="1" s="1"/>
  <c r="O20" i="1"/>
  <c r="O19" i="1"/>
  <c r="AA19" i="1" s="1"/>
  <c r="W22" i="1"/>
  <c r="Z22" i="1" s="1"/>
  <c r="O22" i="1"/>
  <c r="W21" i="1"/>
  <c r="Z21" i="1" s="1"/>
  <c r="O21" i="1"/>
  <c r="O18" i="1"/>
  <c r="AA18" i="1" s="1"/>
  <c r="O17" i="1"/>
  <c r="AA17" i="1" s="1"/>
  <c r="X21" i="1" l="1"/>
  <c r="AA21" i="1" s="1"/>
  <c r="X20" i="1"/>
  <c r="AA20" i="1" s="1"/>
  <c r="X22" i="1"/>
  <c r="AA22" i="1" s="1"/>
  <c r="O16" i="1" l="1"/>
  <c r="AA16" i="1" s="1"/>
  <c r="L31" i="1" l="1"/>
  <c r="L32" i="1" s="1"/>
  <c r="L33" i="1" s="1"/>
  <c r="D13" i="1" l="1"/>
  <c r="M13" i="1"/>
</calcChain>
</file>

<file path=xl/sharedStrings.xml><?xml version="1.0" encoding="utf-8"?>
<sst xmlns="http://schemas.openxmlformats.org/spreadsheetml/2006/main" count="52" uniqueCount="52">
  <si>
    <t>見     積     書</t>
    <phoneticPr fontId="1" type="noConversion"/>
  </si>
  <si>
    <t>담   당   자 :</t>
    <phoneticPr fontId="1" type="noConversion"/>
  </si>
  <si>
    <t>등 록 번 호</t>
    <phoneticPr fontId="1" type="noConversion"/>
  </si>
  <si>
    <t>106-86-58764</t>
    <phoneticPr fontId="1" type="noConversion"/>
  </si>
  <si>
    <t>성         명</t>
    <phoneticPr fontId="1" type="noConversion"/>
  </si>
  <si>
    <t>곽희준</t>
    <phoneticPr fontId="1" type="noConversion"/>
  </si>
  <si>
    <t>(인)</t>
    <phoneticPr fontId="1" type="noConversion"/>
  </si>
  <si>
    <t>납 기/장 소 :</t>
    <phoneticPr fontId="1" type="noConversion"/>
  </si>
  <si>
    <t>사업장주소</t>
    <phoneticPr fontId="1" type="noConversion"/>
  </si>
  <si>
    <t>결 제 조 건 :</t>
    <phoneticPr fontId="1" type="noConversion"/>
  </si>
  <si>
    <t>전 화 번 호</t>
    <phoneticPr fontId="1" type="noConversion"/>
  </si>
  <si>
    <t>02) 711-7806</t>
    <phoneticPr fontId="1" type="noConversion"/>
  </si>
  <si>
    <t>팩 스 번 호</t>
    <phoneticPr fontId="1" type="noConversion"/>
  </si>
  <si>
    <t>02) 711-7807</t>
    <phoneticPr fontId="1" type="noConversion"/>
  </si>
  <si>
    <t>견 적 일 자 :</t>
    <phoneticPr fontId="1" type="noConversion"/>
  </si>
  <si>
    <t>유 효 기 간 :</t>
    <phoneticPr fontId="1" type="noConversion"/>
  </si>
  <si>
    <t>견 적 담 당</t>
    <phoneticPr fontId="1" type="noConversion"/>
  </si>
  <si>
    <t>M o b I l e</t>
    <phoneticPr fontId="1" type="noConversion"/>
  </si>
  <si>
    <t>아래와 같이 견적합니다.</t>
    <phoneticPr fontId="1" type="noConversion"/>
  </si>
  <si>
    <r>
      <t xml:space="preserve">합계금액
</t>
    </r>
    <r>
      <rPr>
        <b/>
        <sz val="9"/>
        <color theme="1"/>
        <rFont val="맑은 고딕"/>
        <family val="3"/>
        <charset val="129"/>
      </rPr>
      <t>(공급가+부가세)</t>
    </r>
    <phoneticPr fontId="1" type="noConversion"/>
  </si>
  <si>
    <t>원整</t>
    <phoneticPr fontId="1" type="noConversion"/>
  </si>
  <si>
    <t>(\</t>
    <phoneticPr fontId="1" type="noConversion"/>
  </si>
  <si>
    <t>)</t>
    <phoneticPr fontId="1" type="noConversion"/>
  </si>
  <si>
    <t>순  번</t>
    <phoneticPr fontId="1" type="noConversion"/>
  </si>
  <si>
    <t>품    명</t>
    <phoneticPr fontId="1" type="noConversion"/>
  </si>
  <si>
    <t>단   가</t>
    <phoneticPr fontId="1" type="noConversion"/>
  </si>
  <si>
    <t>공 급 가</t>
    <phoneticPr fontId="1" type="noConversion"/>
  </si>
  <si>
    <t>비  고</t>
    <phoneticPr fontId="1" type="noConversion"/>
  </si>
  <si>
    <t>부 가 세</t>
    <phoneticPr fontId="1" type="noConversion"/>
  </si>
  <si>
    <t>총     계</t>
    <phoneticPr fontId="1" type="noConversion"/>
  </si>
  <si>
    <t>※ 특 이 사 항</t>
    <phoneticPr fontId="1" type="noConversion"/>
  </si>
  <si>
    <t>모  델     및     사  양</t>
    <phoneticPr fontId="1" type="noConversion"/>
  </si>
  <si>
    <t>단위</t>
    <phoneticPr fontId="1" type="noConversion"/>
  </si>
  <si>
    <t>수량</t>
    <phoneticPr fontId="1" type="noConversion"/>
  </si>
  <si>
    <t>구분</t>
    <phoneticPr fontId="1" type="noConversion"/>
  </si>
  <si>
    <t>반출가</t>
    <phoneticPr fontId="1" type="noConversion"/>
  </si>
  <si>
    <t>매입 단가</t>
    <phoneticPr fontId="1" type="noConversion"/>
  </si>
  <si>
    <t>매입 총액</t>
    <phoneticPr fontId="1" type="noConversion"/>
  </si>
  <si>
    <t>제안가</t>
    <phoneticPr fontId="1" type="noConversion"/>
  </si>
  <si>
    <t>이윤</t>
    <phoneticPr fontId="1" type="noConversion"/>
  </si>
  <si>
    <t>DC율</t>
    <phoneticPr fontId="1" type="noConversion"/>
  </si>
  <si>
    <t>MG율</t>
    <phoneticPr fontId="1" type="noConversion"/>
  </si>
  <si>
    <t>협의 일정 / 협의 장소</t>
    <phoneticPr fontId="1" type="noConversion"/>
  </si>
  <si>
    <t>협의 조건</t>
    <phoneticPr fontId="1" type="noConversion"/>
  </si>
  <si>
    <t>합     계</t>
    <phoneticPr fontId="1" type="noConversion"/>
  </si>
  <si>
    <t>서울 영등포구 선유로9길10 SK V1센터 508</t>
    <phoneticPr fontId="1" type="noConversion"/>
  </si>
  <si>
    <t>EA</t>
    <phoneticPr fontId="1" type="noConversion"/>
  </si>
  <si>
    <t>견적 후 7일</t>
    <phoneticPr fontId="1" type="noConversion"/>
  </si>
  <si>
    <t>* Warranty는 1년입니다.
* 견적 외 사항은 추가비용이 발생 될 수 있으니 이점 참고 바랍니다.</t>
    <phoneticPr fontId="1" type="noConversion"/>
  </si>
  <si>
    <t xml:space="preserve"> 귀하</t>
    <phoneticPr fontId="1" type="noConversion"/>
  </si>
  <si>
    <t>김우민</t>
    <phoneticPr fontId="1" type="noConversion"/>
  </si>
  <si>
    <t>010-5498-6918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</si>
</sst>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[$₩-412]#,##0.00_);[Red]\([$₩-412]#,##0.00\)"/>
    <numFmt numFmtId="178" formatCode="yyyy&quot;년&quot;\ m&quot;월&quot;\ d&quot;일&quot;;@"/>
    <numFmt numFmtId="179" formatCode="_ * #,##0_ ;_ * \-#,##0_ ;_ * &quot;-&quot;_ ;_ @_ "/>
    <numFmt numFmtId="180" formatCode="_ * #,##0.00_ ;_ * \-#,##0.00_ ;_ * &quot;-&quot;??_ ;_ @_ 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0.00000000000000000000000000000000000000000000000000000000000000000%"/>
    <numFmt numFmtId="184" formatCode="_ * #,##0.00000000000000000000000000000_ ;_ * \-#,##0.00000000000000000000000000000_ ;_ * &quot;-&quot;_ ;_ @_ "/>
  </numFmts>
  <fonts count="43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28"/>
      <color theme="1"/>
      <name val="맑은 고딕"/>
      <family val="3"/>
      <charset val="129"/>
    </font>
    <font>
      <b/>
      <u/>
      <sz val="12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u/>
      <sz val="11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1"/>
      <name val="돋움"/>
      <family val="3"/>
      <charset val="129"/>
    </font>
    <font>
      <b/>
      <sz val="10"/>
      <color theme="4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36"/>
      <color theme="1"/>
      <name val="신명조"/>
      <family val="1"/>
      <charset val="129"/>
    </font>
    <font>
      <u/>
      <sz val="11"/>
      <color indexed="12"/>
      <name val="돋움"/>
      <family val="3"/>
      <charset val="129"/>
    </font>
    <font>
      <sz val="12"/>
      <name val="바탕체"/>
      <family val="1"/>
      <charset val="129"/>
    </font>
    <font>
      <sz val="10"/>
      <name val="Arial"/>
      <family val="2"/>
    </font>
    <font>
      <sz val="12"/>
      <name val="뼻뮝"/>
      <family val="3"/>
      <charset val="129"/>
    </font>
    <font>
      <sz val="11"/>
      <name val="ＭＳ ゴシック"/>
      <family val="3"/>
      <charset val="129"/>
    </font>
    <font>
      <sz val="11"/>
      <name val="굴림체"/>
      <family val="3"/>
      <charset val="129"/>
    </font>
    <font>
      <sz val="10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1"/>
      <name val="ＭＳ ゴシック"/>
      <family val="3"/>
      <charset val="255"/>
    </font>
    <font>
      <b/>
      <sz val="10"/>
      <name val="맑은 고딕"/>
      <family val="3"/>
      <charset val="129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5">
    <xf numFmtId="0" fontId="0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179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1" fontId="18" fillId="0" borderId="0" applyFont="0" applyFill="0" applyBorder="0" applyAlignment="0" applyProtection="0"/>
    <xf numFmtId="182" fontId="18" fillId="0" borderId="0" applyFont="0" applyFill="0" applyBorder="0" applyAlignment="0" applyProtection="0"/>
    <xf numFmtId="0" fontId="18" fillId="0" borderId="0"/>
    <xf numFmtId="0" fontId="24" fillId="1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7" borderId="29" applyNumberFormat="0" applyAlignment="0" applyProtection="0">
      <alignment vertical="center"/>
    </xf>
    <xf numFmtId="0" fontId="26" fillId="7" borderId="29" applyNumberFormat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3" fillId="9" borderId="33" applyNumberFormat="0" applyFont="0" applyAlignment="0" applyProtection="0">
      <alignment vertical="center"/>
    </xf>
    <xf numFmtId="0" fontId="23" fillId="9" borderId="33" applyNumberFormat="0" applyFont="0" applyAlignment="0" applyProtection="0">
      <alignment vertical="center"/>
    </xf>
    <xf numFmtId="9" fontId="12" fillId="0" borderId="0" applyFont="0" applyFill="0" applyBorder="0" applyAlignment="0" applyProtection="0"/>
    <xf numFmtId="9" fontId="23" fillId="0" borderId="0" applyFont="0" applyFill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19" fillId="0" borderId="0"/>
    <xf numFmtId="0" fontId="29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8" borderId="32" applyNumberFormat="0" applyAlignment="0" applyProtection="0">
      <alignment vertical="center"/>
    </xf>
    <xf numFmtId="0" fontId="30" fillId="8" borderId="32" applyNumberFormat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23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0" fontId="18" fillId="0" borderId="0"/>
    <xf numFmtId="0" fontId="20" fillId="0" borderId="0"/>
    <xf numFmtId="0" fontId="20" fillId="0" borderId="0"/>
    <xf numFmtId="0" fontId="20" fillId="0" borderId="0"/>
    <xf numFmtId="0" fontId="31" fillId="0" borderId="31" applyNumberFormat="0" applyFill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0" borderId="34" applyNumberFormat="0" applyFill="0" applyAlignment="0" applyProtection="0">
      <alignment vertical="center"/>
    </xf>
    <xf numFmtId="0" fontId="32" fillId="0" borderId="34" applyNumberFormat="0" applyFill="0" applyAlignment="0" applyProtection="0">
      <alignment vertical="center"/>
    </xf>
    <xf numFmtId="0" fontId="33" fillId="6" borderId="29" applyNumberFormat="0" applyAlignment="0" applyProtection="0">
      <alignment vertical="center"/>
    </xf>
    <xf numFmtId="0" fontId="33" fillId="6" borderId="29" applyNumberFormat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9" fillId="7" borderId="30" applyNumberFormat="0" applyAlignment="0" applyProtection="0">
      <alignment vertical="center"/>
    </xf>
    <xf numFmtId="0" fontId="39" fillId="7" borderId="30" applyNumberFormat="0" applyAlignment="0" applyProtection="0">
      <alignment vertical="center"/>
    </xf>
    <xf numFmtId="183" fontId="17" fillId="0" borderId="0" applyFont="0" applyFill="0" applyBorder="0" applyAlignment="0" applyProtection="0"/>
    <xf numFmtId="184" fontId="17" fillId="0" borderId="0" applyFont="0" applyFill="0" applyBorder="0" applyAlignment="0" applyProtection="0"/>
    <xf numFmtId="42" fontId="12" fillId="0" borderId="0" applyFont="0" applyFill="0" applyBorder="0" applyAlignment="0" applyProtection="0"/>
    <xf numFmtId="42" fontId="22" fillId="0" borderId="0" applyFont="0" applyFill="0" applyBorder="0" applyAlignment="0" applyProtection="0"/>
    <xf numFmtId="42" fontId="22" fillId="0" borderId="0" applyFont="0" applyFill="0" applyBorder="0" applyAlignment="0" applyProtection="0"/>
    <xf numFmtId="42" fontId="12" fillId="0" borderId="0" applyFont="0" applyFill="0" applyBorder="0" applyAlignment="0" applyProtection="0"/>
    <xf numFmtId="42" fontId="12" fillId="0" borderId="0" applyFont="0" applyFill="0" applyBorder="0" applyAlignment="0" applyProtection="0"/>
    <xf numFmtId="42" fontId="12" fillId="0" borderId="0" applyFont="0" applyFill="0" applyBorder="0" applyAlignment="0" applyProtection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8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/>
    <xf numFmtId="0" fontId="12" fillId="0" borderId="0">
      <alignment vertical="center"/>
    </xf>
    <xf numFmtId="0" fontId="22" fillId="0" borderId="0"/>
    <xf numFmtId="0" fontId="2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/>
    <xf numFmtId="0" fontId="12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1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>
      <alignment vertical="center"/>
    </xf>
    <xf numFmtId="0" fontId="23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8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41" fillId="0" borderId="0"/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3" fillId="0" borderId="0">
      <alignment vertical="center"/>
    </xf>
    <xf numFmtId="0" fontId="20" fillId="0" borderId="0"/>
    <xf numFmtId="0" fontId="20" fillId="0" borderId="0"/>
    <xf numFmtId="0" fontId="20" fillId="0" borderId="0"/>
    <xf numFmtId="0" fontId="20" fillId="0" borderId="0"/>
  </cellStyleXfs>
  <cellXfs count="82">
    <xf numFmtId="0" fontId="0" fillId="0" borderId="0" xfId="0">
      <alignment vertical="center"/>
    </xf>
    <xf numFmtId="0" fontId="2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2" fillId="0" borderId="0" xfId="0" applyFont="1" applyAlignment="1">
      <alignment vertical="center" textRotation="255" shrinkToFit="1"/>
    </xf>
    <xf numFmtId="0" fontId="2" fillId="0" borderId="0" xfId="0" applyFont="1">
      <alignment vertical="center"/>
    </xf>
    <xf numFmtId="0" fontId="6" fillId="0" borderId="0" xfId="0" applyFont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0" borderId="12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41" fontId="2" fillId="0" borderId="0" xfId="0" applyNumberFormat="1" applyFont="1" applyAlignment="1">
      <alignment horizontal="center" vertical="center" shrinkToFit="1"/>
    </xf>
    <xf numFmtId="176" fontId="6" fillId="0" borderId="14" xfId="0" applyNumberFormat="1" applyFont="1" applyBorder="1" applyAlignment="1">
      <alignment horizontal="center" vertical="center" shrinkToFit="1"/>
    </xf>
    <xf numFmtId="41" fontId="9" fillId="0" borderId="0" xfId="1" applyFont="1" applyAlignment="1">
      <alignment horizontal="center" vertical="center" shrinkToFit="1"/>
    </xf>
    <xf numFmtId="41" fontId="14" fillId="0" borderId="0" xfId="1" applyFont="1" applyAlignment="1">
      <alignment horizontal="center" vertical="center" shrinkToFit="1"/>
    </xf>
    <xf numFmtId="9" fontId="9" fillId="0" borderId="0" xfId="2" applyFont="1" applyAlignment="1">
      <alignment horizontal="center" vertical="center" shrinkToFit="1"/>
    </xf>
    <xf numFmtId="9" fontId="13" fillId="0" borderId="0" xfId="2" applyFont="1" applyAlignment="1">
      <alignment horizontal="center" vertical="center" shrinkToFit="1"/>
    </xf>
    <xf numFmtId="38" fontId="3" fillId="0" borderId="0" xfId="0" applyNumberFormat="1" applyFont="1" applyAlignment="1">
      <alignment horizontal="center" vertical="center" shrinkToFit="1"/>
    </xf>
    <xf numFmtId="38" fontId="6" fillId="0" borderId="0" xfId="0" applyNumberFormat="1" applyFont="1" applyAlignment="1">
      <alignment horizontal="center" vertical="center" shrinkToFit="1"/>
    </xf>
    <xf numFmtId="38" fontId="5" fillId="0" borderId="0" xfId="0" applyNumberFormat="1" applyFont="1" applyAlignment="1">
      <alignment vertical="center" shrinkToFit="1"/>
    </xf>
    <xf numFmtId="38" fontId="2" fillId="0" borderId="0" xfId="0" applyNumberFormat="1" applyFont="1" applyAlignment="1">
      <alignment horizontal="center" vertical="center" shrinkToFit="1"/>
    </xf>
    <xf numFmtId="0" fontId="6" fillId="0" borderId="35" xfId="0" applyFont="1" applyBorder="1" applyAlignment="1">
      <alignment horizontal="center" vertical="center" shrinkToFit="1"/>
    </xf>
    <xf numFmtId="0" fontId="6" fillId="0" borderId="37" xfId="0" applyFont="1" applyBorder="1" applyAlignment="1">
      <alignment horizontal="center" vertical="center" shrinkToFit="1"/>
    </xf>
    <xf numFmtId="41" fontId="42" fillId="0" borderId="0" xfId="1" applyFont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shrinkToFit="1"/>
    </xf>
    <xf numFmtId="42" fontId="9" fillId="0" borderId="15" xfId="0" applyNumberFormat="1" applyFont="1" applyBorder="1" applyAlignment="1">
      <alignment horizontal="left" vertical="center" shrinkToFit="1"/>
    </xf>
    <xf numFmtId="42" fontId="9" fillId="0" borderId="0" xfId="0" applyNumberFormat="1" applyFont="1" applyAlignment="1">
      <alignment horizontal="left" vertical="center" shrinkToFit="1"/>
    </xf>
    <xf numFmtId="42" fontId="9" fillId="0" borderId="13" xfId="0" applyNumberFormat="1" applyFont="1" applyBorder="1" applyAlignment="1">
      <alignment horizontal="left" vertical="center" shrinkToFit="1"/>
    </xf>
    <xf numFmtId="38" fontId="6" fillId="2" borderId="15" xfId="0" applyNumberFormat="1" applyFont="1" applyFill="1" applyBorder="1" applyAlignment="1">
      <alignment horizontal="right" vertical="center" shrinkToFit="1"/>
    </xf>
    <xf numFmtId="38" fontId="6" fillId="2" borderId="0" xfId="0" applyNumberFormat="1" applyFont="1" applyFill="1" applyAlignment="1">
      <alignment horizontal="right" vertical="center" shrinkToFit="1"/>
    </xf>
    <xf numFmtId="38" fontId="6" fillId="2" borderId="13" xfId="0" applyNumberFormat="1" applyFont="1" applyFill="1" applyBorder="1" applyAlignment="1">
      <alignment horizontal="right" vertical="center" shrinkToFit="1"/>
    </xf>
    <xf numFmtId="0" fontId="10" fillId="0" borderId="14" xfId="0" applyFont="1" applyBorder="1" applyAlignment="1">
      <alignment horizontal="center" vertical="center" shrinkToFit="1"/>
    </xf>
    <xf numFmtId="0" fontId="10" fillId="0" borderId="16" xfId="0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left" vertical="center" wrapText="1" shrinkToFit="1"/>
    </xf>
    <xf numFmtId="0" fontId="6" fillId="0" borderId="3" xfId="0" applyFont="1" applyBorder="1" applyAlignment="1">
      <alignment horizontal="left" vertical="center" wrapText="1" shrinkToFit="1"/>
    </xf>
    <xf numFmtId="0" fontId="6" fillId="0" borderId="24" xfId="0" applyFont="1" applyBorder="1" applyAlignment="1">
      <alignment horizontal="left" vertical="center" wrapText="1" shrinkToFit="1"/>
    </xf>
    <xf numFmtId="0" fontId="6" fillId="0" borderId="19" xfId="0" applyFont="1" applyBorder="1" applyAlignment="1">
      <alignment horizontal="left" vertical="center" wrapText="1" shrinkToFit="1"/>
    </xf>
    <xf numFmtId="0" fontId="6" fillId="0" borderId="0" xfId="0" applyFont="1" applyAlignment="1">
      <alignment horizontal="left" vertical="center" wrapText="1" shrinkToFit="1"/>
    </xf>
    <xf numFmtId="0" fontId="6" fillId="0" borderId="9" xfId="0" applyFont="1" applyBorder="1" applyAlignment="1">
      <alignment horizontal="left" vertical="center" wrapText="1" shrinkToFit="1"/>
    </xf>
    <xf numFmtId="0" fontId="6" fillId="0" borderId="20" xfId="0" applyFont="1" applyBorder="1" applyAlignment="1">
      <alignment horizontal="left" vertical="center" wrapText="1" shrinkToFit="1"/>
    </xf>
    <xf numFmtId="0" fontId="6" fillId="0" borderId="1" xfId="0" applyFont="1" applyBorder="1" applyAlignment="1">
      <alignment horizontal="left" vertical="center" wrapText="1" shrinkToFit="1"/>
    </xf>
    <xf numFmtId="0" fontId="6" fillId="0" borderId="25" xfId="0" applyFont="1" applyBorder="1" applyAlignment="1">
      <alignment horizontal="left" vertical="center" wrapText="1" shrinkToFit="1"/>
    </xf>
    <xf numFmtId="0" fontId="11" fillId="0" borderId="21" xfId="0" applyFont="1" applyBorder="1" applyAlignment="1">
      <alignment horizontal="center" vertical="center" shrinkToFit="1"/>
    </xf>
    <xf numFmtId="0" fontId="11" fillId="0" borderId="5" xfId="0" applyFont="1" applyBorder="1" applyAlignment="1">
      <alignment horizontal="center" vertical="center" shrinkToFit="1"/>
    </xf>
    <xf numFmtId="41" fontId="11" fillId="0" borderId="4" xfId="0" applyNumberFormat="1" applyFont="1" applyBorder="1" applyAlignment="1">
      <alignment horizontal="center" vertical="center" shrinkToFit="1"/>
    </xf>
    <xf numFmtId="41" fontId="11" fillId="0" borderId="5" xfId="0" applyNumberFormat="1" applyFont="1" applyBorder="1" applyAlignment="1">
      <alignment horizontal="center" vertical="center" shrinkToFit="1"/>
    </xf>
    <xf numFmtId="41" fontId="11" fillId="0" borderId="2" xfId="0" applyNumberFormat="1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41" fontId="5" fillId="0" borderId="6" xfId="0" applyNumberFormat="1" applyFont="1" applyBorder="1" applyAlignment="1">
      <alignment horizontal="center" vertical="center" shrinkToFit="1"/>
    </xf>
    <xf numFmtId="41" fontId="5" fillId="0" borderId="7" xfId="0" applyNumberFormat="1" applyFont="1" applyBorder="1" applyAlignment="1">
      <alignment horizontal="center" vertical="center" shrinkToFit="1"/>
    </xf>
    <xf numFmtId="41" fontId="5" fillId="0" borderId="8" xfId="0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left" vertical="center" shrinkToFit="1"/>
    </xf>
    <xf numFmtId="176" fontId="11" fillId="0" borderId="22" xfId="0" applyNumberFormat="1" applyFont="1" applyBorder="1" applyAlignment="1">
      <alignment horizontal="center" vertical="center" shrinkToFit="1"/>
    </xf>
    <xf numFmtId="176" fontId="11" fillId="0" borderId="11" xfId="0" applyNumberFormat="1" applyFont="1" applyBorder="1" applyAlignment="1">
      <alignment horizontal="center" vertical="center" shrinkToFit="1"/>
    </xf>
    <xf numFmtId="41" fontId="11" fillId="0" borderId="10" xfId="0" applyNumberFormat="1" applyFont="1" applyBorder="1" applyAlignment="1">
      <alignment horizontal="center" vertical="center" shrinkToFit="1"/>
    </xf>
    <xf numFmtId="41" fontId="11" fillId="0" borderId="11" xfId="0" applyNumberFormat="1" applyFont="1" applyBorder="1" applyAlignment="1">
      <alignment horizontal="center" vertical="center" shrinkToFit="1"/>
    </xf>
    <xf numFmtId="41" fontId="11" fillId="0" borderId="17" xfId="0" applyNumberFormat="1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left" vertical="center" shrinkToFit="1"/>
    </xf>
    <xf numFmtId="0" fontId="6" fillId="0" borderId="0" xfId="0" applyFont="1" applyAlignment="1">
      <alignment horizontal="left" vertical="center" shrinkToFit="1"/>
    </xf>
    <xf numFmtId="0" fontId="6" fillId="0" borderId="13" xfId="0" applyFont="1" applyBorder="1" applyAlignment="1">
      <alignment horizontal="left" vertical="center" shrinkToFit="1"/>
    </xf>
    <xf numFmtId="0" fontId="15" fillId="0" borderId="0" xfId="0" applyFont="1" applyAlignment="1">
      <alignment horizontal="center" vertical="center" shrinkToFit="1"/>
    </xf>
    <xf numFmtId="38" fontId="2" fillId="0" borderId="0" xfId="0" applyNumberFormat="1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left" vertical="center" shrinkToFit="1"/>
    </xf>
    <xf numFmtId="0" fontId="5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38" fontId="2" fillId="0" borderId="0" xfId="0" applyNumberFormat="1" applyFont="1" applyAlignment="1">
      <alignment horizontal="left" vertical="center" shrinkToFit="1"/>
    </xf>
    <xf numFmtId="0" fontId="6" fillId="0" borderId="37" xfId="0" applyFont="1" applyBorder="1" applyAlignment="1">
      <alignment horizontal="center" vertical="center" shrinkToFit="1"/>
    </xf>
    <xf numFmtId="0" fontId="6" fillId="0" borderId="40" xfId="0" applyFont="1" applyBorder="1" applyAlignment="1">
      <alignment horizontal="center" vertical="center" shrinkToFit="1"/>
    </xf>
    <xf numFmtId="38" fontId="6" fillId="0" borderId="38" xfId="0" applyNumberFormat="1" applyFont="1" applyBorder="1" applyAlignment="1">
      <alignment horizontal="center" vertical="center" shrinkToFit="1"/>
    </xf>
    <xf numFmtId="38" fontId="6" fillId="0" borderId="36" xfId="0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wrapText="1" shrinkToFit="1"/>
    </xf>
    <xf numFmtId="0" fontId="6" fillId="0" borderId="38" xfId="0" applyFont="1" applyBorder="1" applyAlignment="1">
      <alignment horizontal="center" vertical="center" shrinkToFit="1"/>
    </xf>
    <xf numFmtId="0" fontId="6" fillId="0" borderId="39" xfId="0" applyFont="1" applyBorder="1" applyAlignment="1">
      <alignment horizontal="center" vertical="center" shrinkToFit="1"/>
    </xf>
    <xf numFmtId="0" fontId="6" fillId="0" borderId="36" xfId="0" applyFont="1" applyBorder="1" applyAlignment="1">
      <alignment horizontal="center" vertical="center" shrinkToFit="1"/>
    </xf>
    <xf numFmtId="177" fontId="6" fillId="2" borderId="0" xfId="0" applyNumberFormat="1" applyFont="1" applyFill="1" applyAlignment="1">
      <alignment horizontal="right" vertical="center" shrinkToFit="1"/>
    </xf>
    <xf numFmtId="178" fontId="2" fillId="0" borderId="0" xfId="0" applyNumberFormat="1" applyFont="1" applyAlignment="1">
      <alignment horizontal="left" vertical="center" shrinkToFit="1"/>
    </xf>
    <xf numFmtId="0" fontId="7" fillId="0" borderId="0" xfId="0" applyFont="1" applyAlignment="1">
      <alignment horizontal="left" vertical="center"/>
    </xf>
    <xf numFmtId="38" fontId="6" fillId="0" borderId="39" xfId="0" applyNumberFormat="1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horizontal="right" vertical="center" shrinkToFit="1"/>
    </xf>
  </cellXfs>
  <cellStyles count="285">
    <cellStyle name="20% - 강조색1 2" xfId="3" xr:uid="{00000000-0005-0000-0000-000000000000}"/>
    <cellStyle name="20% - 강조색1 3" xfId="4" xr:uid="{00000000-0005-0000-0000-000001000000}"/>
    <cellStyle name="20% - 강조색2 2" xfId="5" xr:uid="{00000000-0005-0000-0000-000002000000}"/>
    <cellStyle name="20% - 강조색2 3" xfId="6" xr:uid="{00000000-0005-0000-0000-000003000000}"/>
    <cellStyle name="20% - 강조색3 2" xfId="7" xr:uid="{00000000-0005-0000-0000-000004000000}"/>
    <cellStyle name="20% - 강조색3 3" xfId="8" xr:uid="{00000000-0005-0000-0000-000005000000}"/>
    <cellStyle name="20% - 강조색4 2" xfId="9" xr:uid="{00000000-0005-0000-0000-000006000000}"/>
    <cellStyle name="20% - 강조색4 3" xfId="10" xr:uid="{00000000-0005-0000-0000-000007000000}"/>
    <cellStyle name="20% - 강조색5 2" xfId="11" xr:uid="{00000000-0005-0000-0000-000008000000}"/>
    <cellStyle name="20% - 강조색5 3" xfId="12" xr:uid="{00000000-0005-0000-0000-000009000000}"/>
    <cellStyle name="20% - 강조색6 2" xfId="13" xr:uid="{00000000-0005-0000-0000-00000A000000}"/>
    <cellStyle name="20% - 강조색6 3" xfId="14" xr:uid="{00000000-0005-0000-0000-00000B000000}"/>
    <cellStyle name="40% - 강조색1 2" xfId="15" xr:uid="{00000000-0005-0000-0000-00000C000000}"/>
    <cellStyle name="40% - 강조색1 3" xfId="16" xr:uid="{00000000-0005-0000-0000-00000D000000}"/>
    <cellStyle name="40% - 강조색2 2" xfId="17" xr:uid="{00000000-0005-0000-0000-00000E000000}"/>
    <cellStyle name="40% - 강조색2 3" xfId="18" xr:uid="{00000000-0005-0000-0000-00000F000000}"/>
    <cellStyle name="40% - 강조색3 2" xfId="19" xr:uid="{00000000-0005-0000-0000-000010000000}"/>
    <cellStyle name="40% - 강조색3 3" xfId="20" xr:uid="{00000000-0005-0000-0000-000011000000}"/>
    <cellStyle name="40% - 강조색4 2" xfId="21" xr:uid="{00000000-0005-0000-0000-000012000000}"/>
    <cellStyle name="40% - 강조색4 3" xfId="22" xr:uid="{00000000-0005-0000-0000-000013000000}"/>
    <cellStyle name="40% - 강조색5 2" xfId="23" xr:uid="{00000000-0005-0000-0000-000014000000}"/>
    <cellStyle name="40% - 강조색5 3" xfId="24" xr:uid="{00000000-0005-0000-0000-000015000000}"/>
    <cellStyle name="40% - 강조색6 2" xfId="25" xr:uid="{00000000-0005-0000-0000-000016000000}"/>
    <cellStyle name="40% - 강조색6 3" xfId="26" xr:uid="{00000000-0005-0000-0000-000017000000}"/>
    <cellStyle name="60% - 강조색1 2" xfId="27" xr:uid="{00000000-0005-0000-0000-000018000000}"/>
    <cellStyle name="60% - 강조색1 3" xfId="28" xr:uid="{00000000-0005-0000-0000-000019000000}"/>
    <cellStyle name="60% - 강조색2 2" xfId="29" xr:uid="{00000000-0005-0000-0000-00001A000000}"/>
    <cellStyle name="60% - 강조색2 3" xfId="30" xr:uid="{00000000-0005-0000-0000-00001B000000}"/>
    <cellStyle name="60% - 강조색3 2" xfId="31" xr:uid="{00000000-0005-0000-0000-00001C000000}"/>
    <cellStyle name="60% - 강조색3 3" xfId="32" xr:uid="{00000000-0005-0000-0000-00001D000000}"/>
    <cellStyle name="60% - 강조색4 2" xfId="33" xr:uid="{00000000-0005-0000-0000-00001E000000}"/>
    <cellStyle name="60% - 강조색4 3" xfId="34" xr:uid="{00000000-0005-0000-0000-00001F000000}"/>
    <cellStyle name="60% - 강조색5 2" xfId="35" xr:uid="{00000000-0005-0000-0000-000020000000}"/>
    <cellStyle name="60% - 강조색5 3" xfId="36" xr:uid="{00000000-0005-0000-0000-000021000000}"/>
    <cellStyle name="60% - 강조색6 2" xfId="37" xr:uid="{00000000-0005-0000-0000-000022000000}"/>
    <cellStyle name="60% - 강조색6 3" xfId="38" xr:uid="{00000000-0005-0000-0000-000023000000}"/>
    <cellStyle name="Comma [0]_ SG&amp;A Bridge " xfId="39" xr:uid="{00000000-0005-0000-0000-000024000000}"/>
    <cellStyle name="Comma_ SG&amp;A Bridge " xfId="40" xr:uid="{00000000-0005-0000-0000-000025000000}"/>
    <cellStyle name="Currency [0]_ SG&amp;A Bridge " xfId="41" xr:uid="{00000000-0005-0000-0000-000026000000}"/>
    <cellStyle name="Currency_ SG&amp;A Bridge " xfId="42" xr:uid="{00000000-0005-0000-0000-000027000000}"/>
    <cellStyle name="Normal_ SG&amp;A Bridge " xfId="43" xr:uid="{00000000-0005-0000-0000-000028000000}"/>
    <cellStyle name="강조색1 2" xfId="44" xr:uid="{00000000-0005-0000-0000-000029000000}"/>
    <cellStyle name="강조색1 3" xfId="45" xr:uid="{00000000-0005-0000-0000-00002A000000}"/>
    <cellStyle name="강조색2 2" xfId="46" xr:uid="{00000000-0005-0000-0000-00002B000000}"/>
    <cellStyle name="강조색2 3" xfId="47" xr:uid="{00000000-0005-0000-0000-00002C000000}"/>
    <cellStyle name="강조색3 2" xfId="48" xr:uid="{00000000-0005-0000-0000-00002D000000}"/>
    <cellStyle name="강조색3 3" xfId="49" xr:uid="{00000000-0005-0000-0000-00002E000000}"/>
    <cellStyle name="강조색4 2" xfId="50" xr:uid="{00000000-0005-0000-0000-00002F000000}"/>
    <cellStyle name="강조색4 3" xfId="51" xr:uid="{00000000-0005-0000-0000-000030000000}"/>
    <cellStyle name="강조색5 2" xfId="52" xr:uid="{00000000-0005-0000-0000-000031000000}"/>
    <cellStyle name="강조색5 3" xfId="53" xr:uid="{00000000-0005-0000-0000-000032000000}"/>
    <cellStyle name="강조색6 2" xfId="54" xr:uid="{00000000-0005-0000-0000-000033000000}"/>
    <cellStyle name="강조색6 3" xfId="55" xr:uid="{00000000-0005-0000-0000-000034000000}"/>
    <cellStyle name="경고문 2" xfId="56" xr:uid="{00000000-0005-0000-0000-000035000000}"/>
    <cellStyle name="경고문 3" xfId="57" xr:uid="{00000000-0005-0000-0000-000036000000}"/>
    <cellStyle name="계산 2" xfId="58" xr:uid="{00000000-0005-0000-0000-000037000000}"/>
    <cellStyle name="계산 3" xfId="59" xr:uid="{00000000-0005-0000-0000-000038000000}"/>
    <cellStyle name="나쁨 2" xfId="60" xr:uid="{00000000-0005-0000-0000-000039000000}"/>
    <cellStyle name="나쁨 3" xfId="61" xr:uid="{00000000-0005-0000-0000-00003A000000}"/>
    <cellStyle name="메모 2" xfId="62" xr:uid="{00000000-0005-0000-0000-00003B000000}"/>
    <cellStyle name="메모 3" xfId="63" xr:uid="{00000000-0005-0000-0000-00003C000000}"/>
    <cellStyle name="백분율" xfId="2" builtinId="5"/>
    <cellStyle name="백분율 2" xfId="64" xr:uid="{00000000-0005-0000-0000-00003E000000}"/>
    <cellStyle name="백분율 2 2" xfId="276" xr:uid="{00000000-0005-0000-0000-00003F000000}"/>
    <cellStyle name="백분율 3" xfId="65" xr:uid="{00000000-0005-0000-0000-000040000000}"/>
    <cellStyle name="보통 2" xfId="66" xr:uid="{00000000-0005-0000-0000-000041000000}"/>
    <cellStyle name="보통 3" xfId="67" xr:uid="{00000000-0005-0000-0000-000042000000}"/>
    <cellStyle name="뷭?_BOOKSHIP" xfId="68" xr:uid="{00000000-0005-0000-0000-000043000000}"/>
    <cellStyle name="설명 텍스트 2" xfId="69" xr:uid="{00000000-0005-0000-0000-000044000000}"/>
    <cellStyle name="설명 텍스트 3" xfId="70" xr:uid="{00000000-0005-0000-0000-000045000000}"/>
    <cellStyle name="셀 확인 2" xfId="71" xr:uid="{00000000-0005-0000-0000-000046000000}"/>
    <cellStyle name="셀 확인 3" xfId="72" xr:uid="{00000000-0005-0000-0000-000047000000}"/>
    <cellStyle name="쉼표 [0]" xfId="1" builtinId="6"/>
    <cellStyle name="쉼표 [0] 2" xfId="73" xr:uid="{00000000-0005-0000-0000-000049000000}"/>
    <cellStyle name="쉼표 [0] 2 2" xfId="74" xr:uid="{00000000-0005-0000-0000-00004A000000}"/>
    <cellStyle name="쉼표 [0] 2 2 2" xfId="75" xr:uid="{00000000-0005-0000-0000-00004B000000}"/>
    <cellStyle name="쉼표 [0] 2 2 3" xfId="76" xr:uid="{00000000-0005-0000-0000-00004C000000}"/>
    <cellStyle name="쉼표 [0] 2 2 4" xfId="77" xr:uid="{00000000-0005-0000-0000-00004D000000}"/>
    <cellStyle name="쉼표 [0] 2 2 5" xfId="78" xr:uid="{00000000-0005-0000-0000-00004E000000}"/>
    <cellStyle name="쉼표 [0] 2 2 6" xfId="79" xr:uid="{00000000-0005-0000-0000-00004F000000}"/>
    <cellStyle name="쉼표 [0] 2 2 7" xfId="80" xr:uid="{00000000-0005-0000-0000-000050000000}"/>
    <cellStyle name="쉼표 [0] 2 3" xfId="81" xr:uid="{00000000-0005-0000-0000-000051000000}"/>
    <cellStyle name="쉼표 [0] 2 3 2" xfId="82" xr:uid="{00000000-0005-0000-0000-000052000000}"/>
    <cellStyle name="쉼표 [0] 2 3 3" xfId="83" xr:uid="{00000000-0005-0000-0000-000053000000}"/>
    <cellStyle name="쉼표 [0] 2 4" xfId="84" xr:uid="{00000000-0005-0000-0000-000054000000}"/>
    <cellStyle name="쉼표 [0] 2 4 2" xfId="85" xr:uid="{00000000-0005-0000-0000-000055000000}"/>
    <cellStyle name="쉼표 [0] 2 5" xfId="86" xr:uid="{00000000-0005-0000-0000-000056000000}"/>
    <cellStyle name="쉼표 [0] 2 5 2" xfId="277" xr:uid="{00000000-0005-0000-0000-000057000000}"/>
    <cellStyle name="쉼표 [0] 3" xfId="87" xr:uid="{00000000-0005-0000-0000-000058000000}"/>
    <cellStyle name="쉼표 [0] 3 2" xfId="88" xr:uid="{00000000-0005-0000-0000-000059000000}"/>
    <cellStyle name="쉼표 [0] 3 3" xfId="89" xr:uid="{00000000-0005-0000-0000-00005A000000}"/>
    <cellStyle name="쉼표 [0] 3 4" xfId="90" xr:uid="{00000000-0005-0000-0000-00005B000000}"/>
    <cellStyle name="쉼표 [0] 3 5" xfId="91" xr:uid="{00000000-0005-0000-0000-00005C000000}"/>
    <cellStyle name="쉼표 [0] 3 6" xfId="92" xr:uid="{00000000-0005-0000-0000-00005D000000}"/>
    <cellStyle name="쉼표 [0] 6" xfId="93" xr:uid="{00000000-0005-0000-0000-00005E000000}"/>
    <cellStyle name="쉼표 [0] 9" xfId="94" xr:uid="{00000000-0005-0000-0000-00005F000000}"/>
    <cellStyle name="스타일 1" xfId="95" xr:uid="{00000000-0005-0000-0000-000060000000}"/>
    <cellStyle name="스타일 1 2" xfId="96" xr:uid="{00000000-0005-0000-0000-000061000000}"/>
    <cellStyle name="스타일 1 2 2" xfId="97" xr:uid="{00000000-0005-0000-0000-000062000000}"/>
    <cellStyle name="스타일 1 2 2 2" xfId="278" xr:uid="{00000000-0005-0000-0000-000063000000}"/>
    <cellStyle name="스타일 1 2 2 2 2" xfId="281" xr:uid="{00000000-0005-0000-0000-000064000000}"/>
    <cellStyle name="스타일 1 2 2 3" xfId="279" xr:uid="{00000000-0005-0000-0000-000065000000}"/>
    <cellStyle name="스타일 1 2 2 3 2" xfId="282" xr:uid="{00000000-0005-0000-0000-000066000000}"/>
    <cellStyle name="스타일 1 2 2 4" xfId="283" xr:uid="{00000000-0005-0000-0000-000067000000}"/>
    <cellStyle name="스타일 1 2 3" xfId="98" xr:uid="{00000000-0005-0000-0000-000068000000}"/>
    <cellStyle name="스타일 1 2 3 2" xfId="284" xr:uid="{00000000-0005-0000-0000-000069000000}"/>
    <cellStyle name="스타일 1 2 4" xfId="275" xr:uid="{00000000-0005-0000-0000-00006A000000}"/>
    <cellStyle name="연결된 셀 2" xfId="99" xr:uid="{00000000-0005-0000-0000-00006B000000}"/>
    <cellStyle name="연결된 셀 3" xfId="100" xr:uid="{00000000-0005-0000-0000-00006C000000}"/>
    <cellStyle name="요약 2" xfId="101" xr:uid="{00000000-0005-0000-0000-00006D000000}"/>
    <cellStyle name="요약 3" xfId="102" xr:uid="{00000000-0005-0000-0000-00006E000000}"/>
    <cellStyle name="입력 2" xfId="103" xr:uid="{00000000-0005-0000-0000-00006F000000}"/>
    <cellStyle name="입력 3" xfId="104" xr:uid="{00000000-0005-0000-0000-000070000000}"/>
    <cellStyle name="제목 1 2" xfId="105" xr:uid="{00000000-0005-0000-0000-000071000000}"/>
    <cellStyle name="제목 1 3" xfId="106" xr:uid="{00000000-0005-0000-0000-000072000000}"/>
    <cellStyle name="제목 2 2" xfId="107" xr:uid="{00000000-0005-0000-0000-000073000000}"/>
    <cellStyle name="제목 2 3" xfId="108" xr:uid="{00000000-0005-0000-0000-000074000000}"/>
    <cellStyle name="제목 3 2" xfId="109" xr:uid="{00000000-0005-0000-0000-000075000000}"/>
    <cellStyle name="제목 3 3" xfId="110" xr:uid="{00000000-0005-0000-0000-000076000000}"/>
    <cellStyle name="제목 4 2" xfId="111" xr:uid="{00000000-0005-0000-0000-000077000000}"/>
    <cellStyle name="제목 4 3" xfId="112" xr:uid="{00000000-0005-0000-0000-000078000000}"/>
    <cellStyle name="제목 5" xfId="113" xr:uid="{00000000-0005-0000-0000-000079000000}"/>
    <cellStyle name="제목 6" xfId="114" xr:uid="{00000000-0005-0000-0000-00007A000000}"/>
    <cellStyle name="좋음 2" xfId="115" xr:uid="{00000000-0005-0000-0000-00007B000000}"/>
    <cellStyle name="좋음 3" xfId="116" xr:uid="{00000000-0005-0000-0000-00007C000000}"/>
    <cellStyle name="출력 2" xfId="117" xr:uid="{00000000-0005-0000-0000-00007D000000}"/>
    <cellStyle name="출력 3" xfId="118" xr:uid="{00000000-0005-0000-0000-00007E000000}"/>
    <cellStyle name="콤마 [0]_97년도 프로젝트 현황" xfId="119" xr:uid="{00000000-0005-0000-0000-00007F000000}"/>
    <cellStyle name="콤마_97년도 프로젝트 현황" xfId="120" xr:uid="{00000000-0005-0000-0000-000080000000}"/>
    <cellStyle name="통화 [0] 2" xfId="121" xr:uid="{00000000-0005-0000-0000-000081000000}"/>
    <cellStyle name="통화 [0] 2 2" xfId="122" xr:uid="{00000000-0005-0000-0000-000082000000}"/>
    <cellStyle name="통화 [0] 2 3" xfId="123" xr:uid="{00000000-0005-0000-0000-000083000000}"/>
    <cellStyle name="통화 [0] 2 4" xfId="124" xr:uid="{00000000-0005-0000-0000-000084000000}"/>
    <cellStyle name="통화 [0] 2 5" xfId="125" xr:uid="{00000000-0005-0000-0000-000085000000}"/>
    <cellStyle name="통화 [0] 2 6" xfId="126" xr:uid="{00000000-0005-0000-0000-000086000000}"/>
    <cellStyle name="표준" xfId="0" builtinId="0"/>
    <cellStyle name="표준 10" xfId="127" xr:uid="{00000000-0005-0000-0000-000088000000}"/>
    <cellStyle name="표준 11" xfId="128" xr:uid="{00000000-0005-0000-0000-000089000000}"/>
    <cellStyle name="표준 12" xfId="129" xr:uid="{00000000-0005-0000-0000-00008A000000}"/>
    <cellStyle name="표준 13" xfId="130" xr:uid="{00000000-0005-0000-0000-00008B000000}"/>
    <cellStyle name="표준 14" xfId="131" xr:uid="{00000000-0005-0000-0000-00008C000000}"/>
    <cellStyle name="표준 15" xfId="132" xr:uid="{00000000-0005-0000-0000-00008D000000}"/>
    <cellStyle name="표준 15 2" xfId="133" xr:uid="{00000000-0005-0000-0000-00008E000000}"/>
    <cellStyle name="표준 15 3" xfId="134" xr:uid="{00000000-0005-0000-0000-00008F000000}"/>
    <cellStyle name="표준 16" xfId="135" xr:uid="{00000000-0005-0000-0000-000090000000}"/>
    <cellStyle name="표준 17" xfId="136" xr:uid="{00000000-0005-0000-0000-000091000000}"/>
    <cellStyle name="표준 17 2" xfId="137" xr:uid="{00000000-0005-0000-0000-000092000000}"/>
    <cellStyle name="표준 17 3" xfId="138" xr:uid="{00000000-0005-0000-0000-000093000000}"/>
    <cellStyle name="표준 17 4" xfId="139" xr:uid="{00000000-0005-0000-0000-000094000000}"/>
    <cellStyle name="표준 17 5" xfId="140" xr:uid="{00000000-0005-0000-0000-000095000000}"/>
    <cellStyle name="표준 17 6" xfId="141" xr:uid="{00000000-0005-0000-0000-000096000000}"/>
    <cellStyle name="표준 17 7" xfId="142" xr:uid="{00000000-0005-0000-0000-000097000000}"/>
    <cellStyle name="표준 18" xfId="143" xr:uid="{00000000-0005-0000-0000-000098000000}"/>
    <cellStyle name="표준 18 2" xfId="144" xr:uid="{00000000-0005-0000-0000-000099000000}"/>
    <cellStyle name="표준 18 3" xfId="145" xr:uid="{00000000-0005-0000-0000-00009A000000}"/>
    <cellStyle name="표준 19" xfId="146" xr:uid="{00000000-0005-0000-0000-00009B000000}"/>
    <cellStyle name="표준 19 2" xfId="147" xr:uid="{00000000-0005-0000-0000-00009C000000}"/>
    <cellStyle name="표준 19 3" xfId="148" xr:uid="{00000000-0005-0000-0000-00009D000000}"/>
    <cellStyle name="표준 2" xfId="149" xr:uid="{00000000-0005-0000-0000-00009E000000}"/>
    <cellStyle name="표준 2 10" xfId="150" xr:uid="{00000000-0005-0000-0000-00009F000000}"/>
    <cellStyle name="표준 2 11" xfId="151" xr:uid="{00000000-0005-0000-0000-0000A0000000}"/>
    <cellStyle name="표준 2 12" xfId="152" xr:uid="{00000000-0005-0000-0000-0000A1000000}"/>
    <cellStyle name="표준 2 13" xfId="153" xr:uid="{00000000-0005-0000-0000-0000A2000000}"/>
    <cellStyle name="표준 2 14" xfId="154" xr:uid="{00000000-0005-0000-0000-0000A3000000}"/>
    <cellStyle name="표준 2 15" xfId="155" xr:uid="{00000000-0005-0000-0000-0000A4000000}"/>
    <cellStyle name="표준 2 16" xfId="156" xr:uid="{00000000-0005-0000-0000-0000A5000000}"/>
    <cellStyle name="표준 2 17" xfId="157" xr:uid="{00000000-0005-0000-0000-0000A6000000}"/>
    <cellStyle name="표준 2 18" xfId="158" xr:uid="{00000000-0005-0000-0000-0000A7000000}"/>
    <cellStyle name="표준 2 19" xfId="159" xr:uid="{00000000-0005-0000-0000-0000A8000000}"/>
    <cellStyle name="표준 2 2" xfId="160" xr:uid="{00000000-0005-0000-0000-0000A9000000}"/>
    <cellStyle name="표준 2 2 2" xfId="161" xr:uid="{00000000-0005-0000-0000-0000AA000000}"/>
    <cellStyle name="표준 2 2 2 2" xfId="162" xr:uid="{00000000-0005-0000-0000-0000AB000000}"/>
    <cellStyle name="표준 2 2 2 3" xfId="163" xr:uid="{00000000-0005-0000-0000-0000AC000000}"/>
    <cellStyle name="표준 2 2 2 4" xfId="164" xr:uid="{00000000-0005-0000-0000-0000AD000000}"/>
    <cellStyle name="표준 2 2 2 5" xfId="165" xr:uid="{00000000-0005-0000-0000-0000AE000000}"/>
    <cellStyle name="표준 2 2 2 6" xfId="166" xr:uid="{00000000-0005-0000-0000-0000AF000000}"/>
    <cellStyle name="표준 2 2 3" xfId="167" xr:uid="{00000000-0005-0000-0000-0000B0000000}"/>
    <cellStyle name="표준 2 2 4" xfId="168" xr:uid="{00000000-0005-0000-0000-0000B1000000}"/>
    <cellStyle name="표준 2 2 5" xfId="169" xr:uid="{00000000-0005-0000-0000-0000B2000000}"/>
    <cellStyle name="표준 2 2 6" xfId="170" xr:uid="{00000000-0005-0000-0000-0000B3000000}"/>
    <cellStyle name="표준 2 2 7" xfId="171" xr:uid="{00000000-0005-0000-0000-0000B4000000}"/>
    <cellStyle name="표준 2 20" xfId="172" xr:uid="{00000000-0005-0000-0000-0000B5000000}"/>
    <cellStyle name="표준 2 21" xfId="173" xr:uid="{00000000-0005-0000-0000-0000B6000000}"/>
    <cellStyle name="표준 2 22" xfId="174" xr:uid="{00000000-0005-0000-0000-0000B7000000}"/>
    <cellStyle name="표준 2 23" xfId="175" xr:uid="{00000000-0005-0000-0000-0000B8000000}"/>
    <cellStyle name="표준 2 24" xfId="176" xr:uid="{00000000-0005-0000-0000-0000B9000000}"/>
    <cellStyle name="표준 2 25" xfId="177" xr:uid="{00000000-0005-0000-0000-0000BA000000}"/>
    <cellStyle name="표준 2 26" xfId="178" xr:uid="{00000000-0005-0000-0000-0000BB000000}"/>
    <cellStyle name="표준 2 26 2" xfId="179" xr:uid="{00000000-0005-0000-0000-0000BC000000}"/>
    <cellStyle name="표준 2 27" xfId="180" xr:uid="{00000000-0005-0000-0000-0000BD000000}"/>
    <cellStyle name="표준 2 27 2" xfId="280" xr:uid="{00000000-0005-0000-0000-0000BE000000}"/>
    <cellStyle name="표준 2 3" xfId="181" xr:uid="{00000000-0005-0000-0000-0000BF000000}"/>
    <cellStyle name="표준 2 4" xfId="182" xr:uid="{00000000-0005-0000-0000-0000C0000000}"/>
    <cellStyle name="표준 2 5" xfId="183" xr:uid="{00000000-0005-0000-0000-0000C1000000}"/>
    <cellStyle name="표준 2 6" xfId="184" xr:uid="{00000000-0005-0000-0000-0000C2000000}"/>
    <cellStyle name="표준 2 7" xfId="185" xr:uid="{00000000-0005-0000-0000-0000C3000000}"/>
    <cellStyle name="표준 2 8" xfId="186" xr:uid="{00000000-0005-0000-0000-0000C4000000}"/>
    <cellStyle name="표준 2 9" xfId="187" xr:uid="{00000000-0005-0000-0000-0000C5000000}"/>
    <cellStyle name="표준 20" xfId="188" xr:uid="{00000000-0005-0000-0000-0000C6000000}"/>
    <cellStyle name="표준 20 2" xfId="189" xr:uid="{00000000-0005-0000-0000-0000C7000000}"/>
    <cellStyle name="표준 20 3" xfId="190" xr:uid="{00000000-0005-0000-0000-0000C8000000}"/>
    <cellStyle name="표준 21" xfId="191" xr:uid="{00000000-0005-0000-0000-0000C9000000}"/>
    <cellStyle name="표준 21 2" xfId="192" xr:uid="{00000000-0005-0000-0000-0000CA000000}"/>
    <cellStyle name="표준 21 3" xfId="193" xr:uid="{00000000-0005-0000-0000-0000CB000000}"/>
    <cellStyle name="표준 22" xfId="194" xr:uid="{00000000-0005-0000-0000-0000CC000000}"/>
    <cellStyle name="표준 23" xfId="195" xr:uid="{00000000-0005-0000-0000-0000CD000000}"/>
    <cellStyle name="표준 23 2" xfId="196" xr:uid="{00000000-0005-0000-0000-0000CE000000}"/>
    <cellStyle name="표준 23 3" xfId="197" xr:uid="{00000000-0005-0000-0000-0000CF000000}"/>
    <cellStyle name="표준 24" xfId="198" xr:uid="{00000000-0005-0000-0000-0000D0000000}"/>
    <cellStyle name="표준 3" xfId="199" xr:uid="{00000000-0005-0000-0000-0000D1000000}"/>
    <cellStyle name="표준 3 10" xfId="200" xr:uid="{00000000-0005-0000-0000-0000D2000000}"/>
    <cellStyle name="표준 3 11" xfId="201" xr:uid="{00000000-0005-0000-0000-0000D3000000}"/>
    <cellStyle name="표준 3 12" xfId="202" xr:uid="{00000000-0005-0000-0000-0000D4000000}"/>
    <cellStyle name="표준 3 13" xfId="203" xr:uid="{00000000-0005-0000-0000-0000D5000000}"/>
    <cellStyle name="표준 3 14" xfId="204" xr:uid="{00000000-0005-0000-0000-0000D6000000}"/>
    <cellStyle name="표준 3 15" xfId="205" xr:uid="{00000000-0005-0000-0000-0000D7000000}"/>
    <cellStyle name="표준 3 16" xfId="206" xr:uid="{00000000-0005-0000-0000-0000D8000000}"/>
    <cellStyle name="표준 3 17" xfId="207" xr:uid="{00000000-0005-0000-0000-0000D9000000}"/>
    <cellStyle name="표준 3 18" xfId="208" xr:uid="{00000000-0005-0000-0000-0000DA000000}"/>
    <cellStyle name="표준 3 19" xfId="209" xr:uid="{00000000-0005-0000-0000-0000DB000000}"/>
    <cellStyle name="표준 3 2" xfId="210" xr:uid="{00000000-0005-0000-0000-0000DC000000}"/>
    <cellStyle name="표준 3 2 2" xfId="211" xr:uid="{00000000-0005-0000-0000-0000DD000000}"/>
    <cellStyle name="표준 3 2 3" xfId="212" xr:uid="{00000000-0005-0000-0000-0000DE000000}"/>
    <cellStyle name="표준 3 2 4" xfId="213" xr:uid="{00000000-0005-0000-0000-0000DF000000}"/>
    <cellStyle name="표준 3 2 5" xfId="214" xr:uid="{00000000-0005-0000-0000-0000E0000000}"/>
    <cellStyle name="표준 3 2 6" xfId="215" xr:uid="{00000000-0005-0000-0000-0000E1000000}"/>
    <cellStyle name="표준 3 20" xfId="216" xr:uid="{00000000-0005-0000-0000-0000E2000000}"/>
    <cellStyle name="표준 3 21" xfId="217" xr:uid="{00000000-0005-0000-0000-0000E3000000}"/>
    <cellStyle name="표준 3 22" xfId="218" xr:uid="{00000000-0005-0000-0000-0000E4000000}"/>
    <cellStyle name="표준 3 23" xfId="219" xr:uid="{00000000-0005-0000-0000-0000E5000000}"/>
    <cellStyle name="표준 3 24" xfId="220" xr:uid="{00000000-0005-0000-0000-0000E6000000}"/>
    <cellStyle name="표준 3 25" xfId="221" xr:uid="{00000000-0005-0000-0000-0000E7000000}"/>
    <cellStyle name="표준 3 26" xfId="222" xr:uid="{00000000-0005-0000-0000-0000E8000000}"/>
    <cellStyle name="표준 3 27" xfId="223" xr:uid="{00000000-0005-0000-0000-0000E9000000}"/>
    <cellStyle name="표준 3 3" xfId="224" xr:uid="{00000000-0005-0000-0000-0000EA000000}"/>
    <cellStyle name="표준 3 4" xfId="225" xr:uid="{00000000-0005-0000-0000-0000EB000000}"/>
    <cellStyle name="표준 3 5" xfId="226" xr:uid="{00000000-0005-0000-0000-0000EC000000}"/>
    <cellStyle name="표준 3 6" xfId="227" xr:uid="{00000000-0005-0000-0000-0000ED000000}"/>
    <cellStyle name="표준 3 7" xfId="228" xr:uid="{00000000-0005-0000-0000-0000EE000000}"/>
    <cellStyle name="표준 3 8" xfId="229" xr:uid="{00000000-0005-0000-0000-0000EF000000}"/>
    <cellStyle name="표준 3 9" xfId="230" xr:uid="{00000000-0005-0000-0000-0000F0000000}"/>
    <cellStyle name="표준 4" xfId="231" xr:uid="{00000000-0005-0000-0000-0000F1000000}"/>
    <cellStyle name="표준 4 10" xfId="232" xr:uid="{00000000-0005-0000-0000-0000F2000000}"/>
    <cellStyle name="표준 4 11" xfId="233" xr:uid="{00000000-0005-0000-0000-0000F3000000}"/>
    <cellStyle name="표준 4 12" xfId="234" xr:uid="{00000000-0005-0000-0000-0000F4000000}"/>
    <cellStyle name="표준 4 13" xfId="235" xr:uid="{00000000-0005-0000-0000-0000F5000000}"/>
    <cellStyle name="표준 4 14" xfId="236" xr:uid="{00000000-0005-0000-0000-0000F6000000}"/>
    <cellStyle name="표준 4 15" xfId="237" xr:uid="{00000000-0005-0000-0000-0000F7000000}"/>
    <cellStyle name="표준 4 16" xfId="238" xr:uid="{00000000-0005-0000-0000-0000F8000000}"/>
    <cellStyle name="표준 4 17" xfId="239" xr:uid="{00000000-0005-0000-0000-0000F9000000}"/>
    <cellStyle name="표준 4 18" xfId="240" xr:uid="{00000000-0005-0000-0000-0000FA000000}"/>
    <cellStyle name="표준 4 19" xfId="241" xr:uid="{00000000-0005-0000-0000-0000FB000000}"/>
    <cellStyle name="표준 4 2" xfId="242" xr:uid="{00000000-0005-0000-0000-0000FC000000}"/>
    <cellStyle name="표준 4 20" xfId="243" xr:uid="{00000000-0005-0000-0000-0000FD000000}"/>
    <cellStyle name="표준 4 21" xfId="244" xr:uid="{00000000-0005-0000-0000-0000FE000000}"/>
    <cellStyle name="표준 4 22" xfId="245" xr:uid="{00000000-0005-0000-0000-0000FF000000}"/>
    <cellStyle name="표준 4 23" xfId="246" xr:uid="{00000000-0005-0000-0000-000000010000}"/>
    <cellStyle name="표준 4 3" xfId="247" xr:uid="{00000000-0005-0000-0000-000001010000}"/>
    <cellStyle name="표준 4 4" xfId="248" xr:uid="{00000000-0005-0000-0000-000002010000}"/>
    <cellStyle name="표준 4 5" xfId="249" xr:uid="{00000000-0005-0000-0000-000003010000}"/>
    <cellStyle name="표준 4 6" xfId="250" xr:uid="{00000000-0005-0000-0000-000004010000}"/>
    <cellStyle name="표준 4 7" xfId="251" xr:uid="{00000000-0005-0000-0000-000005010000}"/>
    <cellStyle name="표준 4 8" xfId="252" xr:uid="{00000000-0005-0000-0000-000006010000}"/>
    <cellStyle name="표준 4 9" xfId="253" xr:uid="{00000000-0005-0000-0000-000007010000}"/>
    <cellStyle name="표준 5" xfId="254" xr:uid="{00000000-0005-0000-0000-000008010000}"/>
    <cellStyle name="표준 5 2" xfId="255" xr:uid="{00000000-0005-0000-0000-000009010000}"/>
    <cellStyle name="표준 5 3" xfId="256" xr:uid="{00000000-0005-0000-0000-00000A010000}"/>
    <cellStyle name="표준 5 4" xfId="257" xr:uid="{00000000-0005-0000-0000-00000B010000}"/>
    <cellStyle name="표준 5 5" xfId="258" xr:uid="{00000000-0005-0000-0000-00000C010000}"/>
    <cellStyle name="표준 5 6" xfId="259" xr:uid="{00000000-0005-0000-0000-00000D010000}"/>
    <cellStyle name="표준 5 7" xfId="260" xr:uid="{00000000-0005-0000-0000-00000E010000}"/>
    <cellStyle name="표준 6" xfId="261" xr:uid="{00000000-0005-0000-0000-00000F010000}"/>
    <cellStyle name="표준 7" xfId="262" xr:uid="{00000000-0005-0000-0000-000010010000}"/>
    <cellStyle name="표준 7 2" xfId="263" xr:uid="{00000000-0005-0000-0000-000011010000}"/>
    <cellStyle name="표준 7 3" xfId="264" xr:uid="{00000000-0005-0000-0000-000012010000}"/>
    <cellStyle name="표준 8" xfId="265" xr:uid="{00000000-0005-0000-0000-000013010000}"/>
    <cellStyle name="표준 9" xfId="266" xr:uid="{00000000-0005-0000-0000-000014010000}"/>
    <cellStyle name="표준 9 2" xfId="267" xr:uid="{00000000-0005-0000-0000-000015010000}"/>
    <cellStyle name="표준 9 3" xfId="268" xr:uid="{00000000-0005-0000-0000-000016010000}"/>
    <cellStyle name="하이퍼링크 2" xfId="269" xr:uid="{00000000-0005-0000-0000-000017010000}"/>
    <cellStyle name="하이퍼링크 2 2" xfId="270" xr:uid="{00000000-0005-0000-0000-000018010000}"/>
    <cellStyle name="하이퍼링크 2 3" xfId="271" xr:uid="{00000000-0005-0000-0000-000019010000}"/>
    <cellStyle name="하이퍼링크 2 4" xfId="272" xr:uid="{00000000-0005-0000-0000-00001A010000}"/>
    <cellStyle name="하이퍼링크 2 5" xfId="273" xr:uid="{00000000-0005-0000-0000-00001B010000}"/>
    <cellStyle name="하이퍼링크 2 6" xfId="274" xr:uid="{00000000-0005-0000-0000-00001C01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237316</xdr:colOff>
      <xdr:row>5</xdr:row>
      <xdr:rowOff>127066</xdr:rowOff>
    </xdr:from>
    <xdr:to>
      <xdr:col>17</xdr:col>
      <xdr:colOff>378509</xdr:colOff>
      <xdr:row>7</xdr:row>
      <xdr:rowOff>166845</xdr:rowOff>
    </xdr:to>
    <xdr:pic>
      <xdr:nvPicPr>
        <xdr:cNvPr id="15" name="Picture 2" descr="scan000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AFF"/>
            </a:clrFrom>
            <a:clrTo>
              <a:srgbClr val="FFFAFF">
                <a:alpha val="0"/>
              </a:srgbClr>
            </a:clrTo>
          </a:clrChange>
        </a:blip>
        <a:srcRect r="7609"/>
        <a:stretch>
          <a:fillRect/>
        </a:stretch>
      </xdr:blipFill>
      <xdr:spPr bwMode="auto">
        <a:xfrm>
          <a:off x="9211983" y="1460566"/>
          <a:ext cx="628026" cy="67477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9</xdr:col>
      <xdr:colOff>295836</xdr:colOff>
      <xdr:row>5</xdr:row>
      <xdr:rowOff>254933</xdr:rowOff>
    </xdr:from>
    <xdr:to>
      <xdr:col>16</xdr:col>
      <xdr:colOff>52209</xdr:colOff>
      <xdr:row>5</xdr:row>
      <xdr:rowOff>256521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CxnSpPr/>
      </xdr:nvCxnSpPr>
      <xdr:spPr>
        <a:xfrm>
          <a:off x="5652248" y="1554815"/>
          <a:ext cx="3387079" cy="1588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758631</xdr:colOff>
      <xdr:row>2</xdr:row>
      <xdr:rowOff>66675</xdr:rowOff>
    </xdr:from>
    <xdr:to>
      <xdr:col>13</xdr:col>
      <xdr:colOff>80807</xdr:colOff>
      <xdr:row>2</xdr:row>
      <xdr:rowOff>68263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>
          <a:off x="2753278" y="514910"/>
          <a:ext cx="4320000" cy="1588"/>
        </a:xfrm>
        <a:prstGeom prst="line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347384</xdr:colOff>
      <xdr:row>4</xdr:row>
      <xdr:rowOff>313763</xdr:rowOff>
    </xdr:from>
    <xdr:to>
      <xdr:col>15</xdr:col>
      <xdr:colOff>292886</xdr:colOff>
      <xdr:row>5</xdr:row>
      <xdr:rowOff>193817</xdr:rowOff>
    </xdr:to>
    <xdr:pic>
      <xdr:nvPicPr>
        <xdr:cNvPr id="7" name="그림 6" descr="CI_시안 최종_견적서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03796" y="1210234"/>
          <a:ext cx="3240031" cy="2834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A39"/>
  <sheetViews>
    <sheetView showGridLines="0" showZeros="0" tabSelected="1" view="pageBreakPreview" zoomScale="90" zoomScaleNormal="85" zoomScaleSheetLayoutView="90" zoomScalePageLayoutView="85" workbookViewId="0">
      <selection activeCell="B16" sqref="B16:E16"/>
    </sheetView>
  </sheetViews>
  <sheetFormatPr defaultRowHeight="16.5"/>
  <cols>
    <col min="1" max="1" width="6" style="1" bestFit="1" customWidth="1"/>
    <col min="2" max="5" width="4.33203125" style="1" customWidth="1"/>
    <col min="6" max="9" width="9.77734375" style="1" customWidth="1"/>
    <col min="10" max="10" width="4.33203125" style="1" customWidth="1"/>
    <col min="11" max="11" width="5.21875" style="1" customWidth="1"/>
    <col min="12" max="12" width="3.88671875" style="19" customWidth="1"/>
    <col min="13" max="14" width="6.5546875" style="19" customWidth="1"/>
    <col min="15" max="15" width="11.88671875" style="19" customWidth="1"/>
    <col min="16" max="16" width="3.88671875" style="19" customWidth="1"/>
    <col min="17" max="17" width="5.6640625" style="1" customWidth="1"/>
    <col min="18" max="18" width="4.5546875" style="1" bestFit="1" customWidth="1"/>
    <col min="19" max="19" width="2.77734375" style="1" customWidth="1"/>
    <col min="20" max="20" width="5.77734375" style="12" bestFit="1" customWidth="1"/>
    <col min="21" max="21" width="7.21875" style="12" bestFit="1" customWidth="1"/>
    <col min="22" max="22" width="5" style="14" bestFit="1" customWidth="1"/>
    <col min="23" max="24" width="9.21875" style="12" bestFit="1" customWidth="1"/>
    <col min="25" max="25" width="5.44140625" style="15" bestFit="1" customWidth="1"/>
    <col min="26" max="26" width="7.21875" style="22" bestFit="1" customWidth="1"/>
    <col min="27" max="27" width="5.77734375" style="13" bestFit="1" customWidth="1"/>
    <col min="28" max="16384" width="8.88671875" style="1"/>
  </cols>
  <sheetData>
    <row r="1" spans="1:27" ht="18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</row>
    <row r="2" spans="1:27" ht="18" customHeight="1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</row>
    <row r="3" spans="1:27" ht="18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16"/>
      <c r="M3" s="16"/>
      <c r="N3" s="16"/>
      <c r="O3" s="16"/>
      <c r="P3" s="16"/>
      <c r="Q3" s="2"/>
      <c r="R3" s="2"/>
    </row>
    <row r="4" spans="1:27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16"/>
      <c r="M4" s="16"/>
      <c r="N4" s="16"/>
      <c r="O4" s="16"/>
      <c r="P4" s="16"/>
      <c r="Q4" s="2"/>
      <c r="R4" s="2"/>
    </row>
    <row r="5" spans="1:27" ht="31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16"/>
      <c r="M5" s="16"/>
      <c r="N5" s="16"/>
      <c r="O5" s="16"/>
      <c r="P5" s="16"/>
      <c r="Q5" s="2"/>
      <c r="R5" s="2"/>
    </row>
    <row r="6" spans="1:27" ht="31.5" customHeight="1">
      <c r="A6" s="67" t="s">
        <v>49</v>
      </c>
      <c r="B6" s="67"/>
      <c r="C6" s="67"/>
      <c r="D6" s="67"/>
      <c r="E6" s="67"/>
      <c r="F6" s="67"/>
      <c r="G6" s="67"/>
      <c r="H6" s="2"/>
      <c r="I6" s="2"/>
      <c r="J6" s="66"/>
      <c r="K6" s="66"/>
      <c r="L6" s="66"/>
      <c r="M6" s="16"/>
      <c r="N6" s="16"/>
      <c r="O6" s="16"/>
      <c r="P6" s="16"/>
      <c r="Q6" s="2"/>
      <c r="R6" s="2"/>
    </row>
    <row r="7" spans="1:27" ht="18" customHeight="1">
      <c r="A7" s="64" t="s">
        <v>1</v>
      </c>
      <c r="B7" s="64"/>
      <c r="C7" s="64"/>
      <c r="D7" s="65"/>
      <c r="E7" s="65"/>
      <c r="F7" s="65"/>
      <c r="G7" s="65"/>
      <c r="H7" s="2"/>
      <c r="I7" s="2"/>
      <c r="J7" s="64" t="s">
        <v>2</v>
      </c>
      <c r="K7" s="64"/>
      <c r="L7" s="64"/>
      <c r="M7" s="68" t="s">
        <v>3</v>
      </c>
      <c r="N7" s="68"/>
      <c r="O7" s="17" t="s">
        <v>4</v>
      </c>
      <c r="P7" s="65" t="s">
        <v>5</v>
      </c>
      <c r="Q7" s="65"/>
      <c r="R7" s="1" t="s">
        <v>6</v>
      </c>
    </row>
    <row r="8" spans="1:27" ht="18" customHeight="1">
      <c r="A8" s="64" t="s">
        <v>7</v>
      </c>
      <c r="B8" s="64"/>
      <c r="C8" s="64"/>
      <c r="D8" s="65" t="s">
        <v>42</v>
      </c>
      <c r="E8" s="65"/>
      <c r="F8" s="65"/>
      <c r="G8" s="65"/>
      <c r="H8" s="3"/>
      <c r="I8" s="3"/>
      <c r="J8" s="64" t="s">
        <v>8</v>
      </c>
      <c r="K8" s="64"/>
      <c r="L8" s="64"/>
      <c r="M8" s="65" t="s">
        <v>45</v>
      </c>
      <c r="N8" s="65"/>
      <c r="O8" s="65"/>
      <c r="P8" s="65"/>
      <c r="Q8" s="65"/>
      <c r="R8" s="65"/>
    </row>
    <row r="9" spans="1:27" ht="18" customHeight="1">
      <c r="A9" s="64" t="s">
        <v>9</v>
      </c>
      <c r="B9" s="64"/>
      <c r="C9" s="64"/>
      <c r="D9" s="65" t="s">
        <v>43</v>
      </c>
      <c r="E9" s="65"/>
      <c r="F9" s="65"/>
      <c r="G9" s="65"/>
      <c r="H9" s="3"/>
      <c r="I9" s="3"/>
      <c r="J9" s="64" t="s">
        <v>10</v>
      </c>
      <c r="K9" s="64"/>
      <c r="L9" s="64"/>
      <c r="M9" s="68" t="s">
        <v>11</v>
      </c>
      <c r="N9" s="68"/>
      <c r="O9" s="17" t="s">
        <v>12</v>
      </c>
      <c r="P9" s="65" t="s">
        <v>13</v>
      </c>
      <c r="Q9" s="65"/>
      <c r="R9" s="65"/>
    </row>
    <row r="10" spans="1:27" ht="18" customHeight="1">
      <c r="A10" s="64" t="s">
        <v>14</v>
      </c>
      <c r="B10" s="64"/>
      <c r="C10" s="64"/>
      <c r="D10" s="78">
        <v>46100</v>
      </c>
      <c r="E10" s="78"/>
      <c r="F10" s="78"/>
      <c r="G10" s="78"/>
      <c r="H10" s="3"/>
      <c r="I10" s="3"/>
      <c r="J10" s="64"/>
      <c r="K10" s="64"/>
      <c r="L10" s="64"/>
      <c r="M10" s="62"/>
      <c r="N10" s="62"/>
      <c r="O10" s="17"/>
      <c r="P10" s="63"/>
      <c r="Q10" s="63"/>
      <c r="R10" s="63"/>
    </row>
    <row r="11" spans="1:27" ht="18" customHeight="1">
      <c r="A11" s="64" t="s">
        <v>15</v>
      </c>
      <c r="B11" s="64"/>
      <c r="C11" s="64"/>
      <c r="D11" s="65" t="s">
        <v>47</v>
      </c>
      <c r="E11" s="65"/>
      <c r="F11" s="65"/>
      <c r="G11" s="65"/>
      <c r="H11" s="3"/>
      <c r="I11" s="3"/>
      <c r="J11" s="64" t="s">
        <v>16</v>
      </c>
      <c r="K11" s="64"/>
      <c r="L11" s="64"/>
      <c r="M11" s="62" t="s">
        <v>50</v>
      </c>
      <c r="N11" s="62"/>
      <c r="O11" s="17" t="s">
        <v>17</v>
      </c>
      <c r="P11" s="65" t="s">
        <v>51</v>
      </c>
      <c r="Q11" s="65"/>
      <c r="R11" s="65"/>
    </row>
    <row r="12" spans="1:27" ht="18" customHeight="1">
      <c r="A12" s="79" t="s">
        <v>18</v>
      </c>
      <c r="B12" s="79"/>
      <c r="C12" s="79"/>
      <c r="D12" s="79"/>
      <c r="E12" s="79"/>
      <c r="F12" s="79"/>
      <c r="G12" s="79"/>
      <c r="H12" s="4"/>
      <c r="I12" s="4"/>
      <c r="J12" s="64"/>
      <c r="K12" s="64"/>
      <c r="L12" s="64"/>
      <c r="M12" s="62"/>
      <c r="N12" s="62"/>
      <c r="O12" s="17"/>
      <c r="P12" s="63"/>
      <c r="Q12" s="63"/>
      <c r="R12" s="63"/>
    </row>
    <row r="13" spans="1:27" ht="36.75" customHeight="1">
      <c r="A13" s="73" t="s">
        <v>19</v>
      </c>
      <c r="B13" s="64"/>
      <c r="C13" s="64"/>
      <c r="D13" s="77" t="str">
        <f xml:space="preserve"> NUMBERSTRING(L33,1)</f>
        <v>영</v>
      </c>
      <c r="E13" s="77"/>
      <c r="F13" s="77"/>
      <c r="G13" s="77"/>
      <c r="H13" s="77"/>
      <c r="I13" s="77"/>
      <c r="J13" s="5" t="s">
        <v>20</v>
      </c>
      <c r="K13" s="5"/>
      <c r="L13" s="17" t="s">
        <v>21</v>
      </c>
      <c r="M13" s="29">
        <f>L33</f>
        <v>0</v>
      </c>
      <c r="N13" s="29"/>
      <c r="O13" s="29"/>
      <c r="P13" s="17" t="s">
        <v>22</v>
      </c>
      <c r="Q13" s="5"/>
      <c r="R13" s="5"/>
    </row>
    <row r="14" spans="1:27" ht="22.5" customHeight="1">
      <c r="A14" s="6"/>
      <c r="B14" s="6"/>
      <c r="C14" s="6"/>
      <c r="D14" s="6"/>
      <c r="E14" s="7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</row>
    <row r="15" spans="1:27" ht="23.25" customHeight="1">
      <c r="A15" s="20" t="s">
        <v>23</v>
      </c>
      <c r="B15" s="76" t="s">
        <v>24</v>
      </c>
      <c r="C15" s="69"/>
      <c r="D15" s="69"/>
      <c r="E15" s="69"/>
      <c r="F15" s="74" t="s">
        <v>31</v>
      </c>
      <c r="G15" s="75"/>
      <c r="H15" s="75"/>
      <c r="I15" s="76"/>
      <c r="J15" s="21" t="s">
        <v>32</v>
      </c>
      <c r="K15" s="21" t="s">
        <v>33</v>
      </c>
      <c r="L15" s="71" t="s">
        <v>25</v>
      </c>
      <c r="M15" s="80"/>
      <c r="N15" s="80"/>
      <c r="O15" s="71" t="s">
        <v>26</v>
      </c>
      <c r="P15" s="72"/>
      <c r="Q15" s="69" t="s">
        <v>27</v>
      </c>
      <c r="R15" s="70"/>
      <c r="T15" s="12" t="s">
        <v>34</v>
      </c>
      <c r="U15" s="12" t="s">
        <v>35</v>
      </c>
      <c r="V15" s="14" t="s">
        <v>40</v>
      </c>
      <c r="W15" s="12" t="s">
        <v>36</v>
      </c>
      <c r="X15" s="12" t="s">
        <v>37</v>
      </c>
      <c r="Y15" s="15" t="s">
        <v>41</v>
      </c>
      <c r="Z15" s="22" t="s">
        <v>38</v>
      </c>
      <c r="AA15" s="13" t="s">
        <v>39</v>
      </c>
    </row>
    <row r="16" spans="1:27" ht="17.100000000000001" customHeight="1">
      <c r="A16" s="8">
        <v>1</v>
      </c>
      <c r="B16" s="23"/>
      <c r="C16" s="24"/>
      <c r="D16" s="24"/>
      <c r="E16" s="24"/>
      <c r="F16" s="58"/>
      <c r="G16" s="59"/>
      <c r="H16" s="59"/>
      <c r="I16" s="60"/>
      <c r="J16" s="11" t="s">
        <v>46</v>
      </c>
      <c r="K16" s="11"/>
      <c r="L16" s="28"/>
      <c r="M16" s="29"/>
      <c r="N16" s="29"/>
      <c r="O16" s="28">
        <f t="shared" ref="O16:O23" si="0">L16*K16</f>
        <v>0</v>
      </c>
      <c r="P16" s="30"/>
      <c r="Q16" s="31"/>
      <c r="R16" s="32"/>
      <c r="W16" s="12">
        <f t="shared" ref="W16:W17" si="1">U16-(U16*V16)</f>
        <v>0</v>
      </c>
      <c r="X16" s="12">
        <f t="shared" ref="X16:X17" si="2">W16*K16</f>
        <v>0</v>
      </c>
      <c r="Z16" s="22">
        <f t="shared" ref="Z16:Z17" si="3">W16+(W16*Y16)</f>
        <v>0</v>
      </c>
      <c r="AA16" s="13">
        <f t="shared" ref="AA16:AA17" si="4">O16-X16</f>
        <v>0</v>
      </c>
    </row>
    <row r="17" spans="1:27" ht="16.5" customHeight="1">
      <c r="A17" s="8"/>
      <c r="B17" s="23"/>
      <c r="C17" s="24"/>
      <c r="D17" s="24"/>
      <c r="E17" s="24"/>
      <c r="F17" s="25"/>
      <c r="G17" s="26"/>
      <c r="H17" s="26"/>
      <c r="I17" s="27"/>
      <c r="J17" s="11"/>
      <c r="K17" s="11"/>
      <c r="L17" s="28"/>
      <c r="M17" s="29"/>
      <c r="N17" s="29"/>
      <c r="O17" s="28">
        <f t="shared" ref="O17:O22" si="5">L17*K17</f>
        <v>0</v>
      </c>
      <c r="P17" s="30"/>
      <c r="Q17" s="31"/>
      <c r="R17" s="32"/>
      <c r="W17" s="12">
        <f t="shared" si="1"/>
        <v>0</v>
      </c>
      <c r="X17" s="12">
        <f t="shared" si="2"/>
        <v>0</v>
      </c>
      <c r="Z17" s="22">
        <f t="shared" si="3"/>
        <v>0</v>
      </c>
      <c r="AA17" s="13">
        <f t="shared" si="4"/>
        <v>0</v>
      </c>
    </row>
    <row r="18" spans="1:27" ht="17.100000000000001" customHeight="1">
      <c r="A18" s="8"/>
      <c r="B18" s="23"/>
      <c r="C18" s="24"/>
      <c r="D18" s="24"/>
      <c r="E18" s="24"/>
      <c r="F18" s="25"/>
      <c r="G18" s="26"/>
      <c r="H18" s="26"/>
      <c r="I18" s="27"/>
      <c r="J18" s="11"/>
      <c r="K18" s="11"/>
      <c r="L18" s="28"/>
      <c r="M18" s="29"/>
      <c r="N18" s="29"/>
      <c r="O18" s="28">
        <f t="shared" si="5"/>
        <v>0</v>
      </c>
      <c r="P18" s="30"/>
      <c r="Q18" s="31"/>
      <c r="R18" s="32"/>
      <c r="W18" s="12">
        <f t="shared" ref="W18:W19" si="6">U18-(U18*V18)</f>
        <v>0</v>
      </c>
      <c r="X18" s="12">
        <f t="shared" ref="X18:X19" si="7">W18*K18</f>
        <v>0</v>
      </c>
      <c r="Z18" s="22">
        <f t="shared" ref="Z18:Z19" si="8">W18+(W18*Y18)</f>
        <v>0</v>
      </c>
      <c r="AA18" s="13">
        <f t="shared" ref="AA18:AA19" si="9">O18-X18</f>
        <v>0</v>
      </c>
    </row>
    <row r="19" spans="1:27" ht="17.100000000000001" customHeight="1">
      <c r="A19" s="8"/>
      <c r="B19" s="23"/>
      <c r="C19" s="24"/>
      <c r="D19" s="24"/>
      <c r="E19" s="24"/>
      <c r="F19" s="25"/>
      <c r="G19" s="26"/>
      <c r="H19" s="26"/>
      <c r="I19" s="27"/>
      <c r="J19" s="11"/>
      <c r="K19" s="11"/>
      <c r="L19" s="28"/>
      <c r="M19" s="29"/>
      <c r="N19" s="29"/>
      <c r="O19" s="28">
        <f t="shared" ref="O19:O20" si="10">L19*K19</f>
        <v>0</v>
      </c>
      <c r="P19" s="30"/>
      <c r="Q19" s="31"/>
      <c r="R19" s="32"/>
      <c r="W19" s="12">
        <f t="shared" si="6"/>
        <v>0</v>
      </c>
      <c r="X19" s="12">
        <f t="shared" si="7"/>
        <v>0</v>
      </c>
      <c r="Z19" s="22">
        <f t="shared" si="8"/>
        <v>0</v>
      </c>
      <c r="AA19" s="13">
        <f t="shared" si="9"/>
        <v>0</v>
      </c>
    </row>
    <row r="20" spans="1:27" ht="17.100000000000001" customHeight="1">
      <c r="A20" s="8"/>
      <c r="B20" s="23"/>
      <c r="C20" s="24"/>
      <c r="D20" s="24"/>
      <c r="E20" s="24"/>
      <c r="F20" s="25"/>
      <c r="G20" s="26"/>
      <c r="H20" s="26"/>
      <c r="I20" s="27"/>
      <c r="J20" s="11"/>
      <c r="K20" s="11"/>
      <c r="L20" s="28"/>
      <c r="M20" s="29"/>
      <c r="N20" s="29"/>
      <c r="O20" s="28">
        <f t="shared" si="10"/>
        <v>0</v>
      </c>
      <c r="P20" s="30"/>
      <c r="Q20" s="31"/>
      <c r="R20" s="32"/>
      <c r="W20" s="12">
        <f t="shared" ref="W20" si="11">U20-(U20*V20)</f>
        <v>0</v>
      </c>
      <c r="X20" s="12">
        <f t="shared" ref="X20" si="12">W20*K20</f>
        <v>0</v>
      </c>
      <c r="Z20" s="22">
        <f t="shared" ref="Z20" si="13">W20+(W20*Y20)</f>
        <v>0</v>
      </c>
      <c r="AA20" s="13">
        <f t="shared" ref="AA20" si="14">O20-X20</f>
        <v>0</v>
      </c>
    </row>
    <row r="21" spans="1:27" ht="17.100000000000001" customHeight="1">
      <c r="A21" s="8"/>
      <c r="B21" s="23"/>
      <c r="C21" s="24"/>
      <c r="D21" s="24"/>
      <c r="E21" s="24"/>
      <c r="F21" s="25"/>
      <c r="G21" s="26"/>
      <c r="H21" s="26"/>
      <c r="I21" s="27"/>
      <c r="J21" s="11"/>
      <c r="K21" s="11"/>
      <c r="L21" s="28"/>
      <c r="M21" s="29"/>
      <c r="N21" s="29"/>
      <c r="O21" s="28">
        <f t="shared" si="5"/>
        <v>0</v>
      </c>
      <c r="P21" s="30"/>
      <c r="Q21" s="31"/>
      <c r="R21" s="32"/>
      <c r="W21" s="12">
        <f t="shared" ref="W21:W22" si="15">U21-(U21*V21)</f>
        <v>0</v>
      </c>
      <c r="X21" s="12">
        <f t="shared" ref="X21:X22" si="16">W21*K21</f>
        <v>0</v>
      </c>
      <c r="Z21" s="22">
        <f t="shared" ref="Z21:Z22" si="17">W21+(W21*Y21)</f>
        <v>0</v>
      </c>
      <c r="AA21" s="13">
        <f t="shared" ref="AA21:AA22" si="18">O21-X21</f>
        <v>0</v>
      </c>
    </row>
    <row r="22" spans="1:27" ht="17.100000000000001" customHeight="1">
      <c r="A22" s="8"/>
      <c r="B22" s="23"/>
      <c r="C22" s="24"/>
      <c r="D22" s="24"/>
      <c r="E22" s="24"/>
      <c r="F22" s="25"/>
      <c r="G22" s="26"/>
      <c r="H22" s="26"/>
      <c r="I22" s="27"/>
      <c r="J22" s="11"/>
      <c r="K22" s="11"/>
      <c r="L22" s="28"/>
      <c r="M22" s="29"/>
      <c r="N22" s="29"/>
      <c r="O22" s="28">
        <f t="shared" si="5"/>
        <v>0</v>
      </c>
      <c r="P22" s="30"/>
      <c r="Q22" s="31"/>
      <c r="R22" s="32"/>
      <c r="W22" s="12">
        <f t="shared" si="15"/>
        <v>0</v>
      </c>
      <c r="X22" s="12">
        <f t="shared" si="16"/>
        <v>0</v>
      </c>
      <c r="Z22" s="22">
        <f t="shared" si="17"/>
        <v>0</v>
      </c>
      <c r="AA22" s="13">
        <f t="shared" si="18"/>
        <v>0</v>
      </c>
    </row>
    <row r="23" spans="1:27" ht="17.100000000000001" customHeight="1">
      <c r="A23" s="8"/>
      <c r="B23" s="23"/>
      <c r="C23" s="24"/>
      <c r="D23" s="24"/>
      <c r="E23" s="24"/>
      <c r="F23" s="25"/>
      <c r="G23" s="26"/>
      <c r="H23" s="26"/>
      <c r="I23" s="27"/>
      <c r="J23" s="11"/>
      <c r="K23" s="11"/>
      <c r="L23" s="28"/>
      <c r="M23" s="29"/>
      <c r="N23" s="29"/>
      <c r="O23" s="28">
        <f t="shared" si="0"/>
        <v>0</v>
      </c>
      <c r="P23" s="30"/>
      <c r="Q23" s="31"/>
      <c r="R23" s="32"/>
      <c r="W23" s="12">
        <f t="shared" ref="W23" si="19">U23-(U23*V23)</f>
        <v>0</v>
      </c>
      <c r="X23" s="12">
        <f t="shared" ref="X23" si="20">W23*K23</f>
        <v>0</v>
      </c>
      <c r="Z23" s="22">
        <f t="shared" ref="Z23" si="21">W23+(W23*Y23)</f>
        <v>0</v>
      </c>
      <c r="AA23" s="13">
        <f t="shared" ref="AA23" si="22">O23-X23</f>
        <v>0</v>
      </c>
    </row>
    <row r="24" spans="1:27" ht="16.5" customHeight="1">
      <c r="A24" s="8"/>
      <c r="B24" s="23"/>
      <c r="C24" s="24"/>
      <c r="D24" s="24"/>
      <c r="E24" s="24"/>
      <c r="F24" s="25"/>
      <c r="G24" s="26"/>
      <c r="H24" s="26"/>
      <c r="I24" s="27"/>
      <c r="J24" s="11"/>
      <c r="K24" s="11"/>
      <c r="L24" s="28"/>
      <c r="M24" s="29"/>
      <c r="N24" s="29"/>
      <c r="O24" s="28">
        <f t="shared" ref="O24:O28" si="23">L24*K24</f>
        <v>0</v>
      </c>
      <c r="P24" s="30"/>
      <c r="Q24" s="31"/>
      <c r="R24" s="32"/>
      <c r="W24" s="12">
        <f t="shared" ref="W24:W28" si="24">U24-(U24*V24)</f>
        <v>0</v>
      </c>
      <c r="X24" s="12">
        <f t="shared" ref="X24:X28" si="25">W24*K24</f>
        <v>0</v>
      </c>
      <c r="Z24" s="22">
        <f t="shared" ref="Z24:Z28" si="26">W24+(W24*Y24)</f>
        <v>0</v>
      </c>
      <c r="AA24" s="13">
        <f t="shared" ref="AA24:AA28" si="27">O24-X24</f>
        <v>0</v>
      </c>
    </row>
    <row r="25" spans="1:27" ht="17.100000000000001" customHeight="1">
      <c r="A25" s="8"/>
      <c r="B25" s="23"/>
      <c r="C25" s="24"/>
      <c r="D25" s="24"/>
      <c r="E25" s="24"/>
      <c r="F25" s="25"/>
      <c r="G25" s="26"/>
      <c r="H25" s="26"/>
      <c r="I25" s="27"/>
      <c r="J25" s="11"/>
      <c r="K25" s="11"/>
      <c r="L25" s="28"/>
      <c r="M25" s="29"/>
      <c r="N25" s="29"/>
      <c r="O25" s="28">
        <f t="shared" si="23"/>
        <v>0</v>
      </c>
      <c r="P25" s="30"/>
      <c r="Q25" s="31"/>
      <c r="R25" s="32"/>
      <c r="W25" s="12">
        <f t="shared" si="24"/>
        <v>0</v>
      </c>
      <c r="X25" s="12">
        <f t="shared" si="25"/>
        <v>0</v>
      </c>
      <c r="Z25" s="22">
        <f t="shared" si="26"/>
        <v>0</v>
      </c>
      <c r="AA25" s="13">
        <f t="shared" si="27"/>
        <v>0</v>
      </c>
    </row>
    <row r="26" spans="1:27" ht="17.100000000000001" customHeight="1">
      <c r="A26" s="8"/>
      <c r="B26" s="23"/>
      <c r="C26" s="24"/>
      <c r="D26" s="24"/>
      <c r="E26" s="24"/>
      <c r="F26" s="25"/>
      <c r="G26" s="26"/>
      <c r="H26" s="26"/>
      <c r="I26" s="27"/>
      <c r="J26" s="11"/>
      <c r="K26" s="11"/>
      <c r="L26" s="28"/>
      <c r="M26" s="29"/>
      <c r="N26" s="29"/>
      <c r="O26" s="28">
        <f t="shared" si="23"/>
        <v>0</v>
      </c>
      <c r="P26" s="30"/>
      <c r="Q26" s="31"/>
      <c r="R26" s="32"/>
      <c r="W26" s="12">
        <f t="shared" si="24"/>
        <v>0</v>
      </c>
      <c r="X26" s="12">
        <f t="shared" si="25"/>
        <v>0</v>
      </c>
      <c r="Z26" s="22">
        <f t="shared" si="26"/>
        <v>0</v>
      </c>
      <c r="AA26" s="13">
        <f t="shared" si="27"/>
        <v>0</v>
      </c>
    </row>
    <row r="27" spans="1:27" ht="17.100000000000001" customHeight="1">
      <c r="A27" s="8"/>
      <c r="B27" s="23"/>
      <c r="C27" s="24"/>
      <c r="D27" s="24"/>
      <c r="E27" s="24"/>
      <c r="F27" s="25"/>
      <c r="G27" s="26"/>
      <c r="H27" s="26"/>
      <c r="I27" s="27"/>
      <c r="J27" s="11"/>
      <c r="K27" s="11"/>
      <c r="L27" s="28"/>
      <c r="M27" s="29"/>
      <c r="N27" s="29"/>
      <c r="O27" s="28">
        <f t="shared" si="23"/>
        <v>0</v>
      </c>
      <c r="P27" s="30"/>
      <c r="Q27" s="31"/>
      <c r="R27" s="32"/>
      <c r="W27" s="12">
        <f t="shared" si="24"/>
        <v>0</v>
      </c>
      <c r="X27" s="12">
        <f t="shared" si="25"/>
        <v>0</v>
      </c>
      <c r="Z27" s="22">
        <f t="shared" si="26"/>
        <v>0</v>
      </c>
      <c r="AA27" s="13">
        <f t="shared" si="27"/>
        <v>0</v>
      </c>
    </row>
    <row r="28" spans="1:27" ht="17.100000000000001" customHeight="1">
      <c r="A28" s="8"/>
      <c r="B28" s="23"/>
      <c r="C28" s="24"/>
      <c r="D28" s="24"/>
      <c r="E28" s="24"/>
      <c r="F28" s="25"/>
      <c r="G28" s="26"/>
      <c r="H28" s="26"/>
      <c r="I28" s="27"/>
      <c r="J28" s="11"/>
      <c r="K28" s="11"/>
      <c r="L28" s="28"/>
      <c r="M28" s="29"/>
      <c r="N28" s="29"/>
      <c r="O28" s="28">
        <f t="shared" si="23"/>
        <v>0</v>
      </c>
      <c r="P28" s="30"/>
      <c r="Q28" s="31"/>
      <c r="R28" s="32"/>
      <c r="W28" s="12">
        <f t="shared" si="24"/>
        <v>0</v>
      </c>
      <c r="X28" s="12">
        <f t="shared" si="25"/>
        <v>0</v>
      </c>
      <c r="Z28" s="22">
        <f t="shared" si="26"/>
        <v>0</v>
      </c>
      <c r="AA28" s="13">
        <f t="shared" si="27"/>
        <v>0</v>
      </c>
    </row>
    <row r="29" spans="1:27" ht="16.5" customHeight="1">
      <c r="A29" s="8"/>
      <c r="B29" s="23"/>
      <c r="C29" s="24"/>
      <c r="D29" s="24"/>
      <c r="E29" s="24"/>
      <c r="F29" s="25"/>
      <c r="G29" s="26"/>
      <c r="H29" s="26"/>
      <c r="I29" s="27"/>
      <c r="J29" s="11"/>
      <c r="K29" s="11"/>
      <c r="L29" s="28"/>
      <c r="M29" s="29"/>
      <c r="N29" s="29"/>
      <c r="O29" s="28">
        <f t="shared" ref="O29:O30" si="28">L29*K29</f>
        <v>0</v>
      </c>
      <c r="P29" s="30"/>
      <c r="Q29" s="31"/>
      <c r="R29" s="32"/>
      <c r="W29" s="12">
        <f t="shared" ref="W29:W30" si="29">U29-(U29*V29)</f>
        <v>0</v>
      </c>
      <c r="X29" s="12">
        <f t="shared" ref="X29:X30" si="30">W29*K29</f>
        <v>0</v>
      </c>
      <c r="Z29" s="22">
        <f t="shared" ref="Z29:Z30" si="31">W29+(W29*Y29)</f>
        <v>0</v>
      </c>
      <c r="AA29" s="13">
        <f t="shared" ref="AA29:AA30" si="32">O29-X29</f>
        <v>0</v>
      </c>
    </row>
    <row r="30" spans="1:27" ht="17.100000000000001" customHeight="1">
      <c r="A30" s="8"/>
      <c r="B30" s="23"/>
      <c r="C30" s="24"/>
      <c r="D30" s="24"/>
      <c r="E30" s="24"/>
      <c r="F30" s="25"/>
      <c r="G30" s="26"/>
      <c r="H30" s="26"/>
      <c r="I30" s="27"/>
      <c r="J30" s="11"/>
      <c r="K30" s="11"/>
      <c r="L30" s="28"/>
      <c r="M30" s="29"/>
      <c r="N30" s="29"/>
      <c r="O30" s="28">
        <f t="shared" si="28"/>
        <v>0</v>
      </c>
      <c r="P30" s="30"/>
      <c r="Q30" s="31"/>
      <c r="R30" s="32"/>
      <c r="W30" s="12">
        <f t="shared" si="29"/>
        <v>0</v>
      </c>
      <c r="X30" s="12">
        <f t="shared" si="30"/>
        <v>0</v>
      </c>
      <c r="Z30" s="22">
        <f t="shared" si="31"/>
        <v>0</v>
      </c>
      <c r="AA30" s="13">
        <f t="shared" si="32"/>
        <v>0</v>
      </c>
    </row>
    <row r="31" spans="1:27" ht="20.100000000000001" customHeight="1">
      <c r="A31" s="53" t="s">
        <v>44</v>
      </c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5">
        <f>SUM(O16:P30)</f>
        <v>0</v>
      </c>
      <c r="M31" s="56"/>
      <c r="N31" s="56"/>
      <c r="O31" s="56"/>
      <c r="P31" s="56"/>
      <c r="Q31" s="56"/>
      <c r="R31" s="57"/>
    </row>
    <row r="32" spans="1:27" ht="20.100000000000001" customHeight="1">
      <c r="A32" s="42" t="s">
        <v>28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4">
        <f>L31*0.1</f>
        <v>0</v>
      </c>
      <c r="M32" s="45"/>
      <c r="N32" s="45"/>
      <c r="O32" s="45"/>
      <c r="P32" s="45"/>
      <c r="Q32" s="45"/>
      <c r="R32" s="46"/>
    </row>
    <row r="33" spans="1:18" ht="20.100000000000001" customHeight="1">
      <c r="A33" s="47" t="s">
        <v>29</v>
      </c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9">
        <f>SUM(L31:R32)</f>
        <v>0</v>
      </c>
      <c r="M33" s="50"/>
      <c r="N33" s="50"/>
      <c r="O33" s="50"/>
      <c r="P33" s="50"/>
      <c r="Q33" s="50"/>
      <c r="R33" s="51"/>
    </row>
    <row r="34" spans="1:18" ht="12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18"/>
      <c r="M34" s="18"/>
      <c r="Q34" s="10"/>
      <c r="R34" s="10"/>
    </row>
    <row r="35" spans="1:18" ht="21" customHeight="1">
      <c r="A35" s="52" t="s">
        <v>30</v>
      </c>
      <c r="B35" s="52"/>
      <c r="C35" s="52"/>
      <c r="D35" s="52"/>
      <c r="E35" s="52"/>
    </row>
    <row r="36" spans="1:18">
      <c r="A36" s="33" t="s">
        <v>48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5"/>
    </row>
    <row r="37" spans="1:18">
      <c r="A37" s="36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8"/>
    </row>
    <row r="38" spans="1:18">
      <c r="A38" s="36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8"/>
    </row>
    <row r="39" spans="1:18">
      <c r="A39" s="39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1"/>
    </row>
  </sheetData>
  <sheetProtection formatCells="0" formatColumns="0" formatRows="0" insertColumns="0" insertRows="0" deleteColumns="0" deleteRows="0" sort="0"/>
  <mergeCells count="123">
    <mergeCell ref="J8:L8"/>
    <mergeCell ref="Q15:R15"/>
    <mergeCell ref="O15:P15"/>
    <mergeCell ref="A10:C10"/>
    <mergeCell ref="A9:C9"/>
    <mergeCell ref="A13:C13"/>
    <mergeCell ref="D11:G11"/>
    <mergeCell ref="M13:O13"/>
    <mergeCell ref="F15:I15"/>
    <mergeCell ref="D13:I13"/>
    <mergeCell ref="B15:E15"/>
    <mergeCell ref="D9:G9"/>
    <mergeCell ref="D10:G10"/>
    <mergeCell ref="A12:G12"/>
    <mergeCell ref="J12:L12"/>
    <mergeCell ref="A11:C11"/>
    <mergeCell ref="M9:N9"/>
    <mergeCell ref="L15:N15"/>
    <mergeCell ref="F14:R14"/>
    <mergeCell ref="J10:L10"/>
    <mergeCell ref="J11:L11"/>
    <mergeCell ref="B16:E16"/>
    <mergeCell ref="F16:I16"/>
    <mergeCell ref="L16:N16"/>
    <mergeCell ref="O16:P16"/>
    <mergeCell ref="Q16:R16"/>
    <mergeCell ref="A1:R2"/>
    <mergeCell ref="M12:N12"/>
    <mergeCell ref="P12:R12"/>
    <mergeCell ref="A8:C8"/>
    <mergeCell ref="D8:G8"/>
    <mergeCell ref="M11:N11"/>
    <mergeCell ref="P11:R11"/>
    <mergeCell ref="J6:L6"/>
    <mergeCell ref="P9:R9"/>
    <mergeCell ref="P7:Q7"/>
    <mergeCell ref="D7:G7"/>
    <mergeCell ref="A6:G6"/>
    <mergeCell ref="A7:C7"/>
    <mergeCell ref="J9:L9"/>
    <mergeCell ref="P10:R10"/>
    <mergeCell ref="M10:N10"/>
    <mergeCell ref="M8:R8"/>
    <mergeCell ref="J7:L7"/>
    <mergeCell ref="M7:N7"/>
    <mergeCell ref="A36:R39"/>
    <mergeCell ref="A32:K32"/>
    <mergeCell ref="L32:R32"/>
    <mergeCell ref="A33:K33"/>
    <mergeCell ref="L33:R33"/>
    <mergeCell ref="A35:E35"/>
    <mergeCell ref="A31:K31"/>
    <mergeCell ref="L31:R31"/>
    <mergeCell ref="F30:I30"/>
    <mergeCell ref="L30:N30"/>
    <mergeCell ref="O30:P30"/>
    <mergeCell ref="Q30:R30"/>
    <mergeCell ref="B30:E30"/>
    <mergeCell ref="B17:E17"/>
    <mergeCell ref="F17:I17"/>
    <mergeCell ref="L17:N17"/>
    <mergeCell ref="O17:P17"/>
    <mergeCell ref="Q17:R17"/>
    <mergeCell ref="B18:E18"/>
    <mergeCell ref="F18:I18"/>
    <mergeCell ref="L18:N18"/>
    <mergeCell ref="O18:P18"/>
    <mergeCell ref="Q18:R18"/>
    <mergeCell ref="B21:E21"/>
    <mergeCell ref="F21:I21"/>
    <mergeCell ref="B19:E19"/>
    <mergeCell ref="F19:I19"/>
    <mergeCell ref="L19:N19"/>
    <mergeCell ref="O19:P19"/>
    <mergeCell ref="Q19:R19"/>
    <mergeCell ref="B20:E20"/>
    <mergeCell ref="F20:I20"/>
    <mergeCell ref="L20:N20"/>
    <mergeCell ref="O20:P20"/>
    <mergeCell ref="Q20:R20"/>
    <mergeCell ref="L21:N21"/>
    <mergeCell ref="O21:P21"/>
    <mergeCell ref="Q21:R21"/>
    <mergeCell ref="B22:E22"/>
    <mergeCell ref="F22:I22"/>
    <mergeCell ref="L22:N22"/>
    <mergeCell ref="O22:P22"/>
    <mergeCell ref="Q22:R22"/>
    <mergeCell ref="B24:E24"/>
    <mergeCell ref="F24:I24"/>
    <mergeCell ref="L24:N24"/>
    <mergeCell ref="O24:P24"/>
    <mergeCell ref="Q24:R24"/>
    <mergeCell ref="B23:E23"/>
    <mergeCell ref="F23:I23"/>
    <mergeCell ref="L23:N23"/>
    <mergeCell ref="O23:P23"/>
    <mergeCell ref="Q23:R23"/>
    <mergeCell ref="B25:E25"/>
    <mergeCell ref="F25:I25"/>
    <mergeCell ref="L25:N25"/>
    <mergeCell ref="O25:P25"/>
    <mergeCell ref="Q25:R25"/>
    <mergeCell ref="B26:E26"/>
    <mergeCell ref="F26:I26"/>
    <mergeCell ref="L26:N26"/>
    <mergeCell ref="O26:P26"/>
    <mergeCell ref="Q26:R26"/>
    <mergeCell ref="B29:E29"/>
    <mergeCell ref="F29:I29"/>
    <mergeCell ref="L29:N29"/>
    <mergeCell ref="O29:P29"/>
    <mergeCell ref="Q29:R29"/>
    <mergeCell ref="B27:E27"/>
    <mergeCell ref="F27:I27"/>
    <mergeCell ref="L27:N27"/>
    <mergeCell ref="O27:P27"/>
    <mergeCell ref="Q27:R27"/>
    <mergeCell ref="B28:E28"/>
    <mergeCell ref="F28:I28"/>
    <mergeCell ref="L28:N28"/>
    <mergeCell ref="O28:P28"/>
    <mergeCell ref="Q28:R28"/>
  </mergeCells>
  <phoneticPr fontId="1" type="noConversion"/>
  <printOptions horizontalCentered="1"/>
  <pageMargins left="0.27559055118110237" right="0.23622047244094491" top="0.62992125984251968" bottom="0.35433070866141736" header="0" footer="0"/>
  <pageSetup paperSize="9" scale="74" orientation="portrait" r:id="rId1"/>
  <headerFooter scaleWithDoc="0"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SRW</dc:creator>
  <cp:lastModifiedBy>lgy0163@naver.com</cp:lastModifiedBy>
  <cp:lastPrinted>2014-06-03T09:26:28Z</cp:lastPrinted>
  <dcterms:created xsi:type="dcterms:W3CDTF">2006-06-05T04:05:31Z</dcterms:created>
  <dcterms:modified xsi:type="dcterms:W3CDTF">2026-03-19T07:03:31Z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TC102350971042</vt:lpwstr>
  </property>
</Properties>
</file>
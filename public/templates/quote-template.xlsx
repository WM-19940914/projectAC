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0" documentId="8_{7460E10D-59AE-4BED-9D2C-D1D119DDFB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견적서" sheetId="1" r:id="rId1"/>
  </sheets>
  <definedNames>
    <definedName name="_xlnm.Print_Area" localSheetId="0">견적서!$A1:$R41</definedName>
  </definedNames>
  <calcPr calcId="181029"/>
</workbook>
</file>

<file path=xl/calcChain.xml><?xml version="1.0" encoding="utf-8"?>
<calcChain xmlns="http://schemas.openxmlformats.org/spreadsheetml/2006/main">
  <c r="W30" i="1" l="1"/>
  <c r="X30" i="1" s="1"/>
  <c r="AC30" i="1" s="1"/>
  <c r="O30" i="1"/>
  <c r="AA30" i="1" s="1"/>
  <c r="W29" i="1"/>
  <c r="Z29" i="1" s="1"/>
  <c r="O29" i="1"/>
  <c r="W28" i="1"/>
  <c r="Z28" i="1" s="1"/>
  <c r="O28" i="1"/>
  <c r="W27" i="1"/>
  <c r="Z27" i="1" s="1"/>
  <c r="O27" i="1"/>
  <c r="W26" i="1"/>
  <c r="Z26" i="1" s="1"/>
  <c r="O26" i="1"/>
  <c r="W25" i="1"/>
  <c r="Z25" i="1" s="1"/>
  <c r="O25" i="1"/>
  <c r="W24" i="1"/>
  <c r="X24" i="1" s="1"/>
  <c r="AC24" i="1" s="1"/>
  <c r="O24" i="1"/>
  <c r="AA24" i="1" s="1"/>
  <c r="W23" i="1"/>
  <c r="Z23" i="1" s="1"/>
  <c r="O23" i="1"/>
  <c r="W22" i="1"/>
  <c r="X22" i="1" s="1"/>
  <c r="AC22" i="1" s="1"/>
  <c r="O22" i="1"/>
  <c r="AA22" i="1" s="1"/>
  <c r="W21" i="1"/>
  <c r="X21" i="1" s="1"/>
  <c r="AC21" i="1" s="1"/>
  <c r="O21" i="1"/>
  <c r="AA21" i="1" s="1"/>
  <c r="W20" i="1"/>
  <c r="X20" i="1" s="1"/>
  <c r="AC20" i="1" s="1"/>
  <c r="O20" i="1"/>
  <c r="AA20" i="1" s="1"/>
  <c r="W19" i="1"/>
  <c r="Z19" i="1" s="1"/>
  <c r="O19" i="1"/>
  <c r="W18" i="1"/>
  <c r="Z18" i="1" s="1"/>
  <c r="O18" i="1"/>
  <c r="W17" i="1"/>
  <c r="Z17" i="1" s="1"/>
  <c r="O17" i="1"/>
  <c r="W16" i="1"/>
  <c r="Z16" i="1" s="1"/>
  <c r="O16" i="1"/>
  <c r="AA26" i="1" l="1"/>
  <c r="Z24" i="1"/>
  <c r="X28" i="1"/>
  <c r="AC28" i="1" s="1"/>
  <c r="X29" i="1"/>
  <c r="AC29" i="1" s="1"/>
  <c r="X18" i="1"/>
  <c r="AC18" i="1" s="1"/>
  <c r="L31" i="1"/>
  <c r="X16" i="1"/>
  <c r="AC16" i="1" s="1"/>
  <c r="X25" i="1"/>
  <c r="AC25" i="1" s="1"/>
  <c r="Z21" i="1"/>
  <c r="Z30" i="1"/>
  <c r="Z20" i="1"/>
  <c r="X17" i="1"/>
  <c r="AC17" i="1" s="1"/>
  <c r="Z22" i="1"/>
  <c r="X19" i="1"/>
  <c r="AC19" i="1" s="1"/>
  <c r="X27" i="1"/>
  <c r="AC27" i="1" s="1"/>
  <c r="X26" i="1"/>
  <c r="AC26" i="1" s="1"/>
  <c r="X23" i="1"/>
  <c r="AC23" i="1" s="1"/>
  <c r="L32" i="1" l="1"/>
  <c r="L33" i="1" s="1"/>
  <c r="AA27" i="1"/>
  <c r="AA16" i="1"/>
  <c r="AA17" i="1"/>
  <c r="AA19" i="1"/>
  <c r="AA18" i="1"/>
  <c r="AA23" i="1"/>
  <c r="AC31" i="1"/>
  <c r="AA28" i="1"/>
  <c r="AA25" i="1"/>
  <c r="AA29" i="1"/>
  <c r="D13" i="1" l="1"/>
  <c r="M13" i="1"/>
  <c r="AA31" i="1"/>
</calcChain>
</file>

<file path=xl/sharedStrings.xml><?xml version="1.0" encoding="utf-8"?>
<sst xmlns="http://schemas.openxmlformats.org/spreadsheetml/2006/main" count="115" uniqueCount="74">
  <si>
    <t>見     積     書</t>
  </si>
  <si>
    <t>주식회사 test 귀하</t>
  </si>
  <si>
    <t>담   당   자 :</t>
  </si>
  <si>
    <t>김테스트</t>
  </si>
  <si>
    <t>등 록 번 호</t>
  </si>
  <si>
    <t>106-86-58764</t>
  </si>
  <si>
    <t>성         명</t>
  </si>
  <si>
    <t>곽희준</t>
  </si>
  <si>
    <t>(인)</t>
  </si>
  <si>
    <t>납 기/장 소 :</t>
  </si>
  <si>
    <t>협의 일정 / 협의 장소</t>
  </si>
  <si>
    <t>사업장주소</t>
  </si>
  <si>
    <t>서울특별시 영등포구 선유로9길 10, 505호,506호,507호,508호,509호(문래동6가, SK V1 센터)</t>
  </si>
  <si>
    <t>결 제 조 건 :</t>
  </si>
  <si>
    <t>협의 조건</t>
  </si>
  <si>
    <t>전 화 번 호</t>
  </si>
  <si>
    <t>010-5498-6918</t>
  </si>
  <si>
    <t>팩 스 번 호</t>
  </si>
  <si>
    <t>02) 711-7807</t>
  </si>
  <si>
    <t>견 적 일 자 :</t>
  </si>
  <si>
    <t>2026-03-06</t>
  </si>
  <si>
    <t>유 효 기 간 :</t>
  </si>
  <si>
    <t>견적 후 7일</t>
  </si>
  <si>
    <t>견 적 담 당</t>
  </si>
  <si>
    <t>김우민 대리</t>
  </si>
  <si>
    <t>M o b I l e</t>
  </si>
  <si>
    <t>아래와 같이 견적합니다.</t>
  </si>
  <si>
    <t>원整</t>
  </si>
  <si>
    <t>(\</t>
  </si>
  <si>
    <t>)</t>
  </si>
  <si>
    <t>순  번</t>
  </si>
  <si>
    <t>품    명</t>
  </si>
  <si>
    <t>모  델     및     사  양</t>
  </si>
  <si>
    <t>단위</t>
  </si>
  <si>
    <t>수량</t>
  </si>
  <si>
    <t>단   가</t>
  </si>
  <si>
    <t>공 급 가</t>
  </si>
  <si>
    <t>비  고</t>
  </si>
  <si>
    <t>구분</t>
  </si>
  <si>
    <t>반출가</t>
  </si>
  <si>
    <t>DC율</t>
  </si>
  <si>
    <t>매입 단가</t>
  </si>
  <si>
    <t>매입 총액</t>
  </si>
  <si>
    <t>MG율</t>
  </si>
  <si>
    <t>제안가</t>
  </si>
  <si>
    <t>이윤</t>
  </si>
  <si>
    <t>장려금%</t>
  </si>
  <si>
    <t>장려금</t>
  </si>
  <si>
    <t>고효율 한랭지 실외기(8HP)</t>
  </si>
  <si>
    <t>AM080AXVSHH1</t>
  </si>
  <si>
    <t>EA</t>
  </si>
  <si>
    <t>장비</t>
  </si>
  <si>
    <t>고효율 한랭지 실외기(12HP)</t>
  </si>
  <si>
    <t>AM120AXVSHH1</t>
  </si>
  <si>
    <t>고정압 덕트(HSP덕트)-80평</t>
  </si>
  <si>
    <t>AM290HNHDBH1</t>
  </si>
  <si>
    <t>멀티형 PAC 스탠드 실내기-40평</t>
  </si>
  <si>
    <t>AM145JNPDBH1</t>
  </si>
  <si>
    <t>멀티형 무풍 벽걸이 EEV내장형-13평</t>
  </si>
  <si>
    <t>AM052TNVDBH1</t>
  </si>
  <si>
    <t>멀티형 무풍 벽걸이 EEV내장형-10평</t>
  </si>
  <si>
    <t>AM040TNVDBH1</t>
  </si>
  <si>
    <t>멀티형 무풍 벽걸이 EEV내장형-8평</t>
  </si>
  <si>
    <t>AM032TNVDBH1</t>
  </si>
  <si>
    <t>고효율 한랭지 실외기(10HP)</t>
  </si>
  <si>
    <t>AM100AXVSHH1</t>
  </si>
  <si>
    <t>고효율 한랭지 실외기(14HP)</t>
  </si>
  <si>
    <t>AM140AXVSHH1</t>
  </si>
  <si>
    <t>합     계</t>
  </si>
  <si>
    <t>부 가 세</t>
  </si>
  <si>
    <t>총     계</t>
  </si>
  <si>
    <t>※ 특 이 사 항</t>
  </si>
  <si>
    <t xml:space="preserve">1.전기공사 제외
</t>
  </si>
  <si>
    <r>
      <t xml:space="preserve">총계금액
</t>
    </r>
    <r>
      <rPr>
        <b/>
        <sz val="9"/>
        <color theme="1"/>
        <rFont val="맑은 고딕"/>
        <family val="3"/>
        <charset val="129"/>
      </rPr>
      <t>(공급가+부가세)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</si>
</sst>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yyyy&quot;년&quot;\ m&quot;월&quot;\ d&quot;일&quot;;@"/>
    <numFmt numFmtId="177" formatCode="[$₩-412]#,##0.00_);[Red]\([$₩-412]#,##0.00\)"/>
    <numFmt numFmtId="178" formatCode="#,##0_ "/>
  </numFmts>
  <fonts count="16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4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36"/>
      <color theme="1"/>
      <name val="신명조"/>
      <family val="1"/>
      <charset val="129"/>
    </font>
    <font>
      <b/>
      <sz val="28"/>
      <color theme="1"/>
      <name val="맑은 고딕"/>
      <family val="3"/>
      <charset val="129"/>
    </font>
    <font>
      <b/>
      <u/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 tint="-4.9989318521683403E-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center" vertical="center" shrinkToFit="1"/>
    </xf>
    <xf numFmtId="38" fontId="1" fillId="2" borderId="0" xfId="0" applyNumberFormat="1" applyFont="1" applyFill="1" applyAlignment="1">
      <alignment horizontal="center" vertical="center" shrinkToFit="1"/>
    </xf>
    <xf numFmtId="41" fontId="2" fillId="2" borderId="0" xfId="0" applyNumberFormat="1" applyFont="1" applyFill="1" applyAlignment="1">
      <alignment horizontal="center" vertical="center" shrinkToFit="1"/>
    </xf>
    <xf numFmtId="9" fontId="2" fillId="2" borderId="0" xfId="0" applyNumberFormat="1" applyFont="1" applyFill="1" applyAlignment="1">
      <alignment horizontal="center" vertical="center" shrinkToFit="1"/>
    </xf>
    <xf numFmtId="9" fontId="3" fillId="2" borderId="0" xfId="0" applyNumberFormat="1" applyFont="1" applyFill="1" applyAlignment="1">
      <alignment horizontal="center" vertical="center" shrinkToFit="1"/>
    </xf>
    <xf numFmtId="41" fontId="4" fillId="2" borderId="0" xfId="0" applyNumberFormat="1" applyFont="1" applyFill="1" applyAlignment="1">
      <alignment horizontal="center" vertical="center" shrinkToFit="1"/>
    </xf>
    <xf numFmtId="41" fontId="5" fillId="2" borderId="0" xfId="0" applyNumberFormat="1" applyFont="1" applyFill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38" fontId="7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38" fontId="10" fillId="0" borderId="0" xfId="0" applyNumberFormat="1" applyFont="1" applyAlignment="1">
      <alignment horizontal="center" vertical="center" shrinkToFit="1"/>
    </xf>
    <xf numFmtId="0" fontId="1" fillId="0" borderId="0" xfId="0" applyFont="1" applyAlignment="1">
      <alignment vertical="center" textRotation="255" shrinkToFi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shrinkToFit="1"/>
    </xf>
    <xf numFmtId="178" fontId="1" fillId="0" borderId="1" xfId="0" applyNumberFormat="1" applyFont="1" applyBorder="1" applyAlignment="1">
      <alignment horizontal="left" vertical="center" shrinkToFit="1"/>
    </xf>
    <xf numFmtId="0" fontId="10" fillId="0" borderId="2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2" fillId="2" borderId="8" xfId="0" applyFont="1" applyFill="1" applyBorder="1" applyAlignment="1">
      <alignment horizontal="center" vertical="center" shrinkToFit="1"/>
    </xf>
    <xf numFmtId="178" fontId="2" fillId="2" borderId="12" xfId="0" applyNumberFormat="1" applyFont="1" applyFill="1" applyBorder="1" applyAlignment="1">
      <alignment horizontal="center" vertical="center" shrinkToFit="1"/>
    </xf>
    <xf numFmtId="41" fontId="5" fillId="0" borderId="21" xfId="0" applyNumberFormat="1" applyFont="1" applyBorder="1" applyAlignment="1">
      <alignment horizontal="center" vertical="center" shrinkToFit="1"/>
    </xf>
    <xf numFmtId="38" fontId="9" fillId="0" borderId="0" xfId="0" applyNumberFormat="1" applyFont="1" applyAlignment="1">
      <alignment vertical="center" shrinkToFit="1"/>
    </xf>
    <xf numFmtId="41" fontId="1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8" fillId="2" borderId="0" xfId="0" applyFont="1" applyFill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" fillId="2" borderId="0" xfId="0" applyFont="1" applyFill="1" applyAlignment="1">
      <alignment horizontal="left" vertical="center" shrinkToFit="1"/>
    </xf>
    <xf numFmtId="38" fontId="1" fillId="2" borderId="0" xfId="0" applyNumberFormat="1" applyFont="1" applyFill="1" applyAlignment="1">
      <alignment horizontal="left" vertical="center" shrinkToFit="1"/>
    </xf>
    <xf numFmtId="176" fontId="1" fillId="2" borderId="0" xfId="0" applyNumberFormat="1" applyFont="1" applyFill="1" applyAlignment="1">
      <alignment horizontal="left" vertical="center" shrinkToFit="1"/>
    </xf>
    <xf numFmtId="38" fontId="1" fillId="2" borderId="0" xfId="0" applyNumberFormat="1" applyFont="1" applyFill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 shrinkToFit="1"/>
    </xf>
    <xf numFmtId="177" fontId="10" fillId="3" borderId="0" xfId="0" applyNumberFormat="1" applyFont="1" applyFill="1" applyAlignment="1">
      <alignment horizontal="right" vertical="center" shrinkToFit="1"/>
    </xf>
    <xf numFmtId="38" fontId="10" fillId="3" borderId="0" xfId="0" applyNumberFormat="1" applyFont="1" applyFill="1" applyAlignment="1">
      <alignment horizontal="right" vertical="center" shrinkToFit="1"/>
    </xf>
    <xf numFmtId="178" fontId="1" fillId="0" borderId="1" xfId="0" applyNumberFormat="1" applyFont="1" applyBorder="1" applyAlignment="1">
      <alignment horizontal="right" vertical="center" shrinkToFit="1"/>
    </xf>
    <xf numFmtId="0" fontId="10" fillId="0" borderId="3" xfId="0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38" fontId="10" fillId="0" borderId="3" xfId="0" applyNumberFormat="1" applyFont="1" applyBorder="1" applyAlignment="1">
      <alignment horizontal="center" vertical="center" shrinkToFit="1"/>
    </xf>
    <xf numFmtId="38" fontId="10" fillId="0" borderId="4" xfId="0" applyNumberFormat="1" applyFont="1" applyBorder="1" applyAlignment="1">
      <alignment horizontal="center" vertical="center" shrinkToFit="1"/>
    </xf>
    <xf numFmtId="38" fontId="10" fillId="0" borderId="5" xfId="0" applyNumberFormat="1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2" fillId="2" borderId="9" xfId="0" applyFont="1" applyFill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  <xf numFmtId="38" fontId="2" fillId="2" borderId="13" xfId="0" applyNumberFormat="1" applyFont="1" applyFill="1" applyBorder="1" applyAlignment="1">
      <alignment horizontal="right" vertical="center" shrinkToFit="1"/>
    </xf>
    <xf numFmtId="38" fontId="2" fillId="3" borderId="0" xfId="0" applyNumberFormat="1" applyFont="1" applyFill="1" applyAlignment="1">
      <alignment horizontal="right" vertical="center" shrinkToFit="1"/>
    </xf>
    <xf numFmtId="38" fontId="2" fillId="3" borderId="14" xfId="0" applyNumberFormat="1" applyFont="1" applyFill="1" applyBorder="1" applyAlignment="1">
      <alignment horizontal="right" vertical="center" shrinkToFit="1"/>
    </xf>
    <xf numFmtId="0" fontId="12" fillId="0" borderId="12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2" fillId="2" borderId="13" xfId="0" applyFont="1" applyFill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14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178" fontId="13" fillId="0" borderId="17" xfId="0" applyNumberFormat="1" applyFont="1" applyBorder="1" applyAlignment="1">
      <alignment horizontal="center" vertical="center" shrinkToFit="1"/>
    </xf>
    <xf numFmtId="178" fontId="13" fillId="0" borderId="18" xfId="0" applyNumberFormat="1" applyFont="1" applyBorder="1" applyAlignment="1">
      <alignment horizontal="center" vertical="center" shrinkToFit="1"/>
    </xf>
    <xf numFmtId="41" fontId="13" fillId="0" borderId="19" xfId="0" applyNumberFormat="1" applyFont="1" applyBorder="1" applyAlignment="1">
      <alignment horizontal="center" vertical="center" shrinkToFit="1"/>
    </xf>
    <xf numFmtId="41" fontId="13" fillId="0" borderId="18" xfId="0" applyNumberFormat="1" applyFont="1" applyBorder="1" applyAlignment="1">
      <alignment horizontal="center" vertical="center" shrinkToFit="1"/>
    </xf>
    <xf numFmtId="41" fontId="13" fillId="0" borderId="20" xfId="0" applyNumberFormat="1" applyFont="1" applyBorder="1" applyAlignment="1">
      <alignment horizontal="center" vertical="center" shrinkToFit="1"/>
    </xf>
    <xf numFmtId="0" fontId="13" fillId="0" borderId="22" xfId="0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 shrinkToFit="1"/>
    </xf>
    <xf numFmtId="41" fontId="13" fillId="0" borderId="24" xfId="0" applyNumberFormat="1" applyFont="1" applyBorder="1" applyAlignment="1">
      <alignment horizontal="center" vertical="center" shrinkToFit="1"/>
    </xf>
    <xf numFmtId="41" fontId="13" fillId="0" borderId="23" xfId="0" applyNumberFormat="1" applyFont="1" applyBorder="1" applyAlignment="1">
      <alignment horizontal="center" vertical="center" shrinkToFit="1"/>
    </xf>
    <xf numFmtId="41" fontId="13" fillId="0" borderId="25" xfId="0" applyNumberFormat="1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27" xfId="0" applyFont="1" applyBorder="1" applyAlignment="1">
      <alignment horizontal="center" vertical="center" shrinkToFit="1"/>
    </xf>
    <xf numFmtId="41" fontId="9" fillId="0" borderId="28" xfId="0" applyNumberFormat="1" applyFont="1" applyBorder="1" applyAlignment="1">
      <alignment horizontal="center" vertical="center" shrinkToFit="1"/>
    </xf>
    <xf numFmtId="41" fontId="9" fillId="0" borderId="27" xfId="0" applyNumberFormat="1" applyFont="1" applyBorder="1" applyAlignment="1">
      <alignment horizontal="center" vertical="center" shrinkToFit="1"/>
    </xf>
    <xf numFmtId="41" fontId="9" fillId="0" borderId="29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2" borderId="30" xfId="0" applyFont="1" applyFill="1" applyBorder="1" applyAlignment="1">
      <alignment horizontal="left" vertical="center" wrapText="1" shrinkToFit="1"/>
    </xf>
    <xf numFmtId="0" fontId="10" fillId="0" borderId="10" xfId="0" applyFont="1" applyBorder="1" applyAlignment="1">
      <alignment horizontal="left" vertical="center" wrapText="1" shrinkToFit="1"/>
    </xf>
    <xf numFmtId="0" fontId="10" fillId="0" borderId="31" xfId="0" applyFont="1" applyBorder="1" applyAlignment="1">
      <alignment horizontal="left" vertical="center" wrapText="1" shrinkToFit="1"/>
    </xf>
    <xf numFmtId="0" fontId="10" fillId="0" borderId="32" xfId="0" applyFont="1" applyBorder="1" applyAlignment="1">
      <alignment horizontal="left" vertical="center" wrapText="1" shrinkToFit="1"/>
    </xf>
    <xf numFmtId="0" fontId="10" fillId="0" borderId="0" xfId="0" applyFont="1" applyAlignment="1">
      <alignment horizontal="left" vertical="center" wrapText="1" shrinkToFit="1"/>
    </xf>
    <xf numFmtId="0" fontId="10" fillId="0" borderId="16" xfId="0" applyFont="1" applyBorder="1" applyAlignment="1">
      <alignment horizontal="left" vertical="center" wrapText="1" shrinkToFit="1"/>
    </xf>
    <xf numFmtId="0" fontId="10" fillId="0" borderId="33" xfId="0" applyFont="1" applyBorder="1" applyAlignment="1">
      <alignment horizontal="left" vertical="center" wrapText="1" shrinkToFit="1"/>
    </xf>
    <xf numFmtId="0" fontId="10" fillId="0" borderId="1" xfId="0" applyFont="1" applyBorder="1" applyAlignment="1">
      <alignment horizontal="left" vertical="center" wrapText="1" shrinkToFit="1"/>
    </xf>
    <xf numFmtId="0" fontId="10" fillId="0" borderId="34" xfId="0" applyFont="1" applyBorder="1" applyAlignment="1">
      <alignment horizontal="left" vertical="center" wrapText="1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271183</xdr:colOff>
      <xdr:row>4</xdr:row>
      <xdr:rowOff>256613</xdr:rowOff>
    </xdr:from>
    <xdr:to>
      <xdr:col>16</xdr:col>
      <xdr:colOff>38099</xdr:colOff>
      <xdr:row>5</xdr:row>
      <xdr:rowOff>136667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16</xdr:col>
      <xdr:colOff>394335</xdr:colOff>
      <xdr:row>5</xdr:row>
      <xdr:rowOff>74295</xdr:rowOff>
    </xdr:from>
    <xdr:to>
      <xdr:col>17</xdr:col>
      <xdr:colOff>593736</xdr:colOff>
      <xdr:row>7</xdr:row>
      <xdr:rowOff>120424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1"/>
  <sheetViews>
    <sheetView showGridLines="0" tabSelected="1" view="pageBreakPreview" topLeftCell="A4" zoomScaleNormal="100" zoomScaleSheetLayoutView="100" workbookViewId="0">
      <selection activeCell="H11" sqref="H11"/>
    </sheetView>
  </sheetViews>
  <sheetFormatPr defaultColWidth="8.875" defaultRowHeight="16.5" customHeight="1" outlineLevelCol="1"/>
  <cols>
    <col min="1" max="1" width="6" style="1" customWidth="1"/>
    <col min="2" max="5" width="4.375" style="1" customWidth="1"/>
    <col min="6" max="9" width="9.75" style="1" customWidth="1"/>
    <col min="10" max="10" width="4.375" style="1" customWidth="1"/>
    <col min="11" max="11" width="5.25" style="1" customWidth="1"/>
    <col min="12" max="12" width="3.875" style="2" customWidth="1"/>
    <col min="13" max="14" width="6.5" style="2" customWidth="1"/>
    <col min="15" max="15" width="14.5" style="2" customWidth="1"/>
    <col min="16" max="16" width="3.875" style="2" customWidth="1"/>
    <col min="17" max="17" width="5.625" style="1" customWidth="1"/>
    <col min="18" max="18" width="10" style="1" customWidth="1"/>
    <col min="19" max="19" width="2.75" style="1" customWidth="1" outlineLevel="1" collapsed="1"/>
    <col min="20" max="20" width="5.75" style="3" customWidth="1" outlineLevel="1" collapsed="1"/>
    <col min="21" max="21" width="10.5" style="3" customWidth="1" outlineLevel="1" collapsed="1"/>
    <col min="22" max="22" width="6.375" style="4" customWidth="1" outlineLevel="1" collapsed="1"/>
    <col min="23" max="24" width="11.5" style="3" customWidth="1" outlineLevel="1" collapsed="1"/>
    <col min="25" max="25" width="5.875" style="5" customWidth="1" outlineLevel="1" collapsed="1"/>
    <col min="26" max="26" width="12.75" style="6" customWidth="1" outlineLevel="1" collapsed="1"/>
    <col min="27" max="27" width="12.75" style="7" customWidth="1" outlineLevel="1" collapsed="1"/>
    <col min="28" max="28" width="6.5" style="1" customWidth="1" outlineLevel="1" collapsed="1"/>
    <col min="29" max="31" width="8.875" style="1" customWidth="1" outlineLevel="1" collapsed="1"/>
    <col min="32" max="32" width="8.875" style="1" customWidth="1"/>
    <col min="33" max="16384" width="8.875" style="1"/>
  </cols>
  <sheetData>
    <row r="1" spans="1:29" ht="18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29" ht="18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29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9"/>
      <c r="N3" s="9"/>
      <c r="O3" s="9"/>
      <c r="P3" s="9"/>
      <c r="Q3" s="8"/>
      <c r="R3" s="8"/>
    </row>
    <row r="4" spans="1:29" ht="1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9"/>
      <c r="N4" s="9"/>
      <c r="O4" s="9"/>
      <c r="P4" s="9"/>
      <c r="Q4" s="8"/>
      <c r="R4" s="8"/>
    </row>
    <row r="5" spans="1:29" ht="31.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8"/>
      <c r="R5" s="8"/>
    </row>
    <row r="6" spans="1:29" ht="31.5" customHeight="1">
      <c r="A6" s="28" t="s">
        <v>1</v>
      </c>
      <c r="B6" s="28"/>
      <c r="C6" s="28"/>
      <c r="D6" s="28"/>
      <c r="E6" s="28"/>
      <c r="F6" s="28"/>
      <c r="G6" s="28"/>
      <c r="H6" s="8"/>
      <c r="I6" s="8"/>
      <c r="J6" s="29"/>
      <c r="K6" s="29"/>
      <c r="L6" s="29"/>
      <c r="M6" s="9"/>
      <c r="N6" s="9"/>
      <c r="O6" s="9"/>
      <c r="P6" s="9"/>
      <c r="Q6" s="8"/>
      <c r="R6" s="8"/>
    </row>
    <row r="7" spans="1:29" ht="18" customHeight="1">
      <c r="A7" s="30" t="s">
        <v>2</v>
      </c>
      <c r="B7" s="30"/>
      <c r="C7" s="30"/>
      <c r="D7" s="31" t="s">
        <v>3</v>
      </c>
      <c r="E7" s="31"/>
      <c r="F7" s="31"/>
      <c r="G7" s="31"/>
      <c r="H7" s="8"/>
      <c r="I7" s="8"/>
      <c r="J7" s="30" t="s">
        <v>4</v>
      </c>
      <c r="K7" s="30"/>
      <c r="L7" s="30"/>
      <c r="M7" s="32" t="s">
        <v>5</v>
      </c>
      <c r="N7" s="32"/>
      <c r="O7" s="12" t="s">
        <v>6</v>
      </c>
      <c r="P7" s="31" t="s">
        <v>7</v>
      </c>
      <c r="Q7" s="31"/>
      <c r="R7" s="1" t="s">
        <v>8</v>
      </c>
    </row>
    <row r="8" spans="1:29" ht="18" customHeight="1">
      <c r="A8" s="30" t="s">
        <v>9</v>
      </c>
      <c r="B8" s="30"/>
      <c r="C8" s="30"/>
      <c r="D8" s="31" t="s">
        <v>10</v>
      </c>
      <c r="E8" s="31"/>
      <c r="F8" s="31"/>
      <c r="G8" s="31"/>
      <c r="H8" s="13"/>
      <c r="I8" s="13"/>
      <c r="J8" s="30" t="s">
        <v>11</v>
      </c>
      <c r="K8" s="30"/>
      <c r="L8" s="30"/>
      <c r="M8" s="31" t="s">
        <v>12</v>
      </c>
      <c r="N8" s="31"/>
      <c r="O8" s="31"/>
      <c r="P8" s="31"/>
      <c r="Q8" s="31"/>
      <c r="R8" s="31"/>
    </row>
    <row r="9" spans="1:29" ht="18" customHeight="1">
      <c r="A9" s="30" t="s">
        <v>13</v>
      </c>
      <c r="B9" s="30"/>
      <c r="C9" s="30"/>
      <c r="D9" s="31" t="s">
        <v>14</v>
      </c>
      <c r="E9" s="31"/>
      <c r="F9" s="31"/>
      <c r="G9" s="31"/>
      <c r="H9" s="13"/>
      <c r="I9" s="13"/>
      <c r="J9" s="30" t="s">
        <v>15</v>
      </c>
      <c r="K9" s="30"/>
      <c r="L9" s="30"/>
      <c r="M9" s="32" t="s">
        <v>16</v>
      </c>
      <c r="N9" s="32"/>
      <c r="O9" s="12" t="s">
        <v>17</v>
      </c>
      <c r="P9" s="31" t="s">
        <v>18</v>
      </c>
      <c r="Q9" s="31"/>
      <c r="R9" s="31"/>
    </row>
    <row r="10" spans="1:29" ht="18" customHeight="1">
      <c r="A10" s="30" t="s">
        <v>19</v>
      </c>
      <c r="B10" s="30"/>
      <c r="C10" s="30"/>
      <c r="D10" s="33" t="s">
        <v>20</v>
      </c>
      <c r="E10" s="33"/>
      <c r="F10" s="33"/>
      <c r="G10" s="33"/>
      <c r="H10" s="13"/>
      <c r="I10" s="13"/>
      <c r="J10" s="30"/>
      <c r="K10" s="30"/>
      <c r="L10" s="30"/>
      <c r="M10" s="34"/>
      <c r="N10" s="34"/>
      <c r="O10" s="12"/>
      <c r="P10" s="35"/>
      <c r="Q10" s="35"/>
      <c r="R10" s="35"/>
    </row>
    <row r="11" spans="1:29" ht="18" customHeight="1">
      <c r="A11" s="30" t="s">
        <v>21</v>
      </c>
      <c r="B11" s="30"/>
      <c r="C11" s="30"/>
      <c r="D11" s="31" t="s">
        <v>22</v>
      </c>
      <c r="E11" s="31"/>
      <c r="F11" s="31"/>
      <c r="G11" s="31"/>
      <c r="H11" s="13"/>
      <c r="I11" s="13"/>
      <c r="J11" s="30" t="s">
        <v>23</v>
      </c>
      <c r="K11" s="30"/>
      <c r="L11" s="30"/>
      <c r="M11" s="34" t="s">
        <v>24</v>
      </c>
      <c r="N11" s="34"/>
      <c r="O11" s="12" t="s">
        <v>25</v>
      </c>
      <c r="P11" s="31" t="s">
        <v>16</v>
      </c>
      <c r="Q11" s="31"/>
      <c r="R11" s="31"/>
    </row>
    <row r="12" spans="1:29" ht="18" customHeight="1">
      <c r="A12" s="36" t="s">
        <v>26</v>
      </c>
      <c r="B12" s="36"/>
      <c r="C12" s="36"/>
      <c r="D12" s="36"/>
      <c r="E12" s="36"/>
      <c r="F12" s="36"/>
      <c r="G12" s="36"/>
      <c r="H12" s="14"/>
      <c r="I12" s="14"/>
      <c r="J12" s="30"/>
      <c r="K12" s="30"/>
      <c r="L12" s="30"/>
      <c r="M12" s="34"/>
      <c r="N12" s="34"/>
      <c r="O12" s="12"/>
      <c r="P12" s="35"/>
      <c r="Q12" s="35"/>
      <c r="R12" s="35"/>
    </row>
    <row r="13" spans="1:29" ht="36.75" customHeight="1">
      <c r="A13" s="37" t="s">
        <v>73</v>
      </c>
      <c r="B13" s="30"/>
      <c r="C13" s="30"/>
      <c r="D13" s="38" t="str">
        <f>NUMBERSTRING(L33,1)</f>
        <v>이억이천칠백삼십오만일천삼백</v>
      </c>
      <c r="E13" s="38"/>
      <c r="F13" s="38"/>
      <c r="G13" s="38"/>
      <c r="H13" s="38"/>
      <c r="I13" s="38"/>
      <c r="J13" s="11" t="s">
        <v>27</v>
      </c>
      <c r="K13" s="11"/>
      <c r="L13" s="12" t="s">
        <v>28</v>
      </c>
      <c r="M13" s="39">
        <f>L33</f>
        <v>227351300</v>
      </c>
      <c r="N13" s="39"/>
      <c r="O13" s="39"/>
      <c r="P13" s="12" t="s">
        <v>29</v>
      </c>
      <c r="Q13" s="11"/>
      <c r="R13" s="11"/>
    </row>
    <row r="14" spans="1:29" ht="22.5" customHeight="1">
      <c r="A14" s="15"/>
      <c r="B14" s="15"/>
      <c r="C14" s="15"/>
      <c r="D14" s="15"/>
      <c r="E14" s="16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</row>
    <row r="15" spans="1:29" ht="23.25" customHeight="1">
      <c r="A15" s="17" t="s">
        <v>30</v>
      </c>
      <c r="B15" s="41" t="s">
        <v>31</v>
      </c>
      <c r="C15" s="42"/>
      <c r="D15" s="42"/>
      <c r="E15" s="42"/>
      <c r="F15" s="43"/>
      <c r="G15" s="41" t="s">
        <v>32</v>
      </c>
      <c r="H15" s="42"/>
      <c r="I15" s="43"/>
      <c r="J15" s="18" t="s">
        <v>33</v>
      </c>
      <c r="K15" s="18" t="s">
        <v>34</v>
      </c>
      <c r="L15" s="44" t="s">
        <v>35</v>
      </c>
      <c r="M15" s="45"/>
      <c r="N15" s="45"/>
      <c r="O15" s="44" t="s">
        <v>36</v>
      </c>
      <c r="P15" s="46"/>
      <c r="Q15" s="47" t="s">
        <v>37</v>
      </c>
      <c r="R15" s="48"/>
      <c r="T15" s="3" t="s">
        <v>38</v>
      </c>
      <c r="U15" s="3" t="s">
        <v>39</v>
      </c>
      <c r="V15" s="4" t="s">
        <v>40</v>
      </c>
      <c r="W15" s="3" t="s">
        <v>41</v>
      </c>
      <c r="X15" s="3" t="s">
        <v>42</v>
      </c>
      <c r="Y15" s="5" t="s">
        <v>43</v>
      </c>
      <c r="Z15" s="6" t="s">
        <v>44</v>
      </c>
      <c r="AA15" s="7" t="s">
        <v>45</v>
      </c>
      <c r="AB15" s="19" t="s">
        <v>46</v>
      </c>
      <c r="AC15" s="20" t="s">
        <v>47</v>
      </c>
    </row>
    <row r="16" spans="1:29" s="21" customFormat="1" ht="21" customHeight="1">
      <c r="A16" s="22">
        <v>1</v>
      </c>
      <c r="B16" s="49" t="s">
        <v>48</v>
      </c>
      <c r="C16" s="50"/>
      <c r="D16" s="50"/>
      <c r="E16" s="50"/>
      <c r="F16" s="51"/>
      <c r="G16" s="49" t="s">
        <v>49</v>
      </c>
      <c r="H16" s="50"/>
      <c r="I16" s="51"/>
      <c r="J16" s="23" t="s">
        <v>50</v>
      </c>
      <c r="K16" s="23">
        <v>1</v>
      </c>
      <c r="L16" s="52">
        <v>4207000</v>
      </c>
      <c r="M16" s="53"/>
      <c r="N16" s="53"/>
      <c r="O16" s="52">
        <f t="shared" ref="O16:O23" si="0">L16*K16</f>
        <v>4207000</v>
      </c>
      <c r="P16" s="54"/>
      <c r="Q16" s="55"/>
      <c r="R16" s="56"/>
      <c r="T16" s="3" t="s">
        <v>51</v>
      </c>
      <c r="U16" s="3">
        <v>7649000</v>
      </c>
      <c r="V16" s="4">
        <v>45</v>
      </c>
      <c r="W16" s="3">
        <f t="shared" ref="W16:W17" si="1">U16-(U16*V16)</f>
        <v>-336556000</v>
      </c>
      <c r="X16" s="3">
        <f t="shared" ref="X16:X17" si="2">W16*K16</f>
        <v>-336556000</v>
      </c>
      <c r="Y16" s="5"/>
      <c r="Z16" s="6">
        <f t="shared" ref="Z16:Z17" si="3">W16+(W16*Y16)</f>
        <v>-336556000</v>
      </c>
      <c r="AA16" s="7">
        <f t="shared" ref="AA16:AA17" si="4">O16-X16</f>
        <v>340763000</v>
      </c>
      <c r="AB16" s="4"/>
      <c r="AC16" s="7">
        <f t="shared" ref="AC16:AC30" si="5">X16*AB16</f>
        <v>0</v>
      </c>
    </row>
    <row r="17" spans="1:29" s="21" customFormat="1" ht="21" customHeight="1">
      <c r="A17" s="22">
        <v>2</v>
      </c>
      <c r="B17" s="57" t="s">
        <v>52</v>
      </c>
      <c r="C17" s="58"/>
      <c r="D17" s="58"/>
      <c r="E17" s="58"/>
      <c r="F17" s="59"/>
      <c r="G17" s="57" t="s">
        <v>53</v>
      </c>
      <c r="H17" s="58"/>
      <c r="I17" s="59"/>
      <c r="J17" s="23" t="s">
        <v>50</v>
      </c>
      <c r="K17" s="23">
        <v>1</v>
      </c>
      <c r="L17" s="52">
        <v>5278000</v>
      </c>
      <c r="M17" s="53"/>
      <c r="N17" s="54"/>
      <c r="O17" s="52">
        <f t="shared" ref="O17:O22" si="6">L17*K17</f>
        <v>5278000</v>
      </c>
      <c r="P17" s="54"/>
      <c r="Q17" s="60"/>
      <c r="R17" s="61"/>
      <c r="T17" s="3" t="s">
        <v>51</v>
      </c>
      <c r="U17" s="3">
        <v>9596000</v>
      </c>
      <c r="V17" s="4">
        <v>45</v>
      </c>
      <c r="W17" s="3">
        <f t="shared" si="1"/>
        <v>-422224000</v>
      </c>
      <c r="X17" s="3">
        <f t="shared" si="2"/>
        <v>-422224000</v>
      </c>
      <c r="Y17" s="5"/>
      <c r="Z17" s="6">
        <f t="shared" si="3"/>
        <v>-422224000</v>
      </c>
      <c r="AA17" s="7">
        <f t="shared" si="4"/>
        <v>427502000</v>
      </c>
      <c r="AB17" s="4"/>
      <c r="AC17" s="7">
        <f t="shared" si="5"/>
        <v>0</v>
      </c>
    </row>
    <row r="18" spans="1:29" s="21" customFormat="1" ht="21" customHeight="1">
      <c r="A18" s="22">
        <v>3</v>
      </c>
      <c r="B18" s="57" t="s">
        <v>54</v>
      </c>
      <c r="C18" s="58"/>
      <c r="D18" s="58"/>
      <c r="E18" s="58"/>
      <c r="F18" s="59"/>
      <c r="G18" s="57" t="s">
        <v>55</v>
      </c>
      <c r="H18" s="58"/>
      <c r="I18" s="59"/>
      <c r="J18" s="23" t="s">
        <v>50</v>
      </c>
      <c r="K18" s="23">
        <v>2</v>
      </c>
      <c r="L18" s="52">
        <v>2071000</v>
      </c>
      <c r="M18" s="53"/>
      <c r="N18" s="54"/>
      <c r="O18" s="52">
        <f t="shared" si="6"/>
        <v>4142000</v>
      </c>
      <c r="P18" s="54"/>
      <c r="Q18" s="60"/>
      <c r="R18" s="61"/>
      <c r="T18" s="3" t="s">
        <v>51</v>
      </c>
      <c r="U18" s="3">
        <v>2071000</v>
      </c>
      <c r="V18" s="4"/>
      <c r="W18" s="3">
        <f t="shared" ref="W18:W19" si="7">U18-(U18*V18)</f>
        <v>2071000</v>
      </c>
      <c r="X18" s="3">
        <f t="shared" ref="X18:X19" si="8">W18*K18</f>
        <v>4142000</v>
      </c>
      <c r="Y18" s="5"/>
      <c r="Z18" s="6">
        <f t="shared" ref="Z18:Z19" si="9">W18+(W18*Y18)</f>
        <v>2071000</v>
      </c>
      <c r="AA18" s="7">
        <f t="shared" ref="AA18:AA19" si="10">O18-X18</f>
        <v>0</v>
      </c>
      <c r="AB18" s="4"/>
      <c r="AC18" s="7">
        <f t="shared" si="5"/>
        <v>0</v>
      </c>
    </row>
    <row r="19" spans="1:29" s="21" customFormat="1" ht="21" customHeight="1">
      <c r="A19" s="22">
        <v>4</v>
      </c>
      <c r="B19" s="57" t="s">
        <v>56</v>
      </c>
      <c r="C19" s="58"/>
      <c r="D19" s="58"/>
      <c r="E19" s="58"/>
      <c r="F19" s="59"/>
      <c r="G19" s="57" t="s">
        <v>57</v>
      </c>
      <c r="H19" s="58"/>
      <c r="I19" s="59"/>
      <c r="J19" s="23" t="s">
        <v>50</v>
      </c>
      <c r="K19" s="23">
        <v>3</v>
      </c>
      <c r="L19" s="52">
        <v>1075000</v>
      </c>
      <c r="M19" s="53"/>
      <c r="N19" s="54"/>
      <c r="O19" s="52">
        <f t="shared" ref="O19:O20" si="11">L19*K19</f>
        <v>3225000</v>
      </c>
      <c r="P19" s="54"/>
      <c r="Q19" s="60"/>
      <c r="R19" s="61"/>
      <c r="T19" s="3" t="s">
        <v>51</v>
      </c>
      <c r="U19" s="3">
        <v>1075000</v>
      </c>
      <c r="V19" s="4"/>
      <c r="W19" s="3">
        <f t="shared" si="7"/>
        <v>1075000</v>
      </c>
      <c r="X19" s="3">
        <f t="shared" si="8"/>
        <v>3225000</v>
      </c>
      <c r="Y19" s="5"/>
      <c r="Z19" s="6">
        <f t="shared" si="9"/>
        <v>1075000</v>
      </c>
      <c r="AA19" s="7">
        <f t="shared" si="10"/>
        <v>0</v>
      </c>
      <c r="AB19" s="4"/>
      <c r="AC19" s="7">
        <f t="shared" si="5"/>
        <v>0</v>
      </c>
    </row>
    <row r="20" spans="1:29" s="21" customFormat="1" ht="21" customHeight="1">
      <c r="A20" s="22">
        <v>5</v>
      </c>
      <c r="B20" s="57" t="s">
        <v>58</v>
      </c>
      <c r="C20" s="58"/>
      <c r="D20" s="58"/>
      <c r="E20" s="58"/>
      <c r="F20" s="59"/>
      <c r="G20" s="57" t="s">
        <v>59</v>
      </c>
      <c r="H20" s="58"/>
      <c r="I20" s="59"/>
      <c r="J20" s="23" t="s">
        <v>50</v>
      </c>
      <c r="K20" s="23">
        <v>1</v>
      </c>
      <c r="L20" s="52">
        <v>622000</v>
      </c>
      <c r="M20" s="53"/>
      <c r="N20" s="54"/>
      <c r="O20" s="52">
        <f t="shared" si="11"/>
        <v>622000</v>
      </c>
      <c r="P20" s="54"/>
      <c r="Q20" s="60"/>
      <c r="R20" s="61"/>
      <c r="T20" s="3" t="s">
        <v>51</v>
      </c>
      <c r="U20" s="3">
        <v>622000</v>
      </c>
      <c r="V20" s="4"/>
      <c r="W20" s="3">
        <f t="shared" ref="W20" si="12">U20-(U20*V20)</f>
        <v>622000</v>
      </c>
      <c r="X20" s="3">
        <f t="shared" ref="X20" si="13">W20*K20</f>
        <v>622000</v>
      </c>
      <c r="Y20" s="5"/>
      <c r="Z20" s="6">
        <f t="shared" ref="Z20" si="14">W20+(W20*Y20)</f>
        <v>622000</v>
      </c>
      <c r="AA20" s="7">
        <f t="shared" ref="AA20" si="15">O20-X20</f>
        <v>0</v>
      </c>
      <c r="AB20" s="4"/>
      <c r="AC20" s="7">
        <f t="shared" si="5"/>
        <v>0</v>
      </c>
    </row>
    <row r="21" spans="1:29" s="21" customFormat="1" ht="21" customHeight="1">
      <c r="A21" s="22">
        <v>6</v>
      </c>
      <c r="B21" s="57" t="s">
        <v>56</v>
      </c>
      <c r="C21" s="58"/>
      <c r="D21" s="58"/>
      <c r="E21" s="58"/>
      <c r="F21" s="59"/>
      <c r="G21" s="57" t="s">
        <v>57</v>
      </c>
      <c r="H21" s="58"/>
      <c r="I21" s="59"/>
      <c r="J21" s="23" t="s">
        <v>50</v>
      </c>
      <c r="K21" s="23">
        <v>2</v>
      </c>
      <c r="L21" s="52">
        <v>1075000</v>
      </c>
      <c r="M21" s="53"/>
      <c r="N21" s="54"/>
      <c r="O21" s="52">
        <f t="shared" si="6"/>
        <v>2150000</v>
      </c>
      <c r="P21" s="54"/>
      <c r="Q21" s="60"/>
      <c r="R21" s="61"/>
      <c r="T21" s="3" t="s">
        <v>51</v>
      </c>
      <c r="U21" s="3">
        <v>1075000</v>
      </c>
      <c r="V21" s="4"/>
      <c r="W21" s="3">
        <f t="shared" ref="W21:W22" si="16">U21-(U21*V21)</f>
        <v>1075000</v>
      </c>
      <c r="X21" s="3">
        <f t="shared" ref="X21:X22" si="17">W21*K21</f>
        <v>2150000</v>
      </c>
      <c r="Y21" s="5"/>
      <c r="Z21" s="6">
        <f t="shared" ref="Z21:Z22" si="18">W21+(W21*Y21)</f>
        <v>1075000</v>
      </c>
      <c r="AA21" s="7">
        <f t="shared" ref="AA21:AA22" si="19">O21-X21</f>
        <v>0</v>
      </c>
      <c r="AB21" s="4"/>
      <c r="AC21" s="7">
        <f t="shared" si="5"/>
        <v>0</v>
      </c>
    </row>
    <row r="22" spans="1:29" s="21" customFormat="1" ht="21" customHeight="1">
      <c r="A22" s="22">
        <v>7</v>
      </c>
      <c r="B22" s="57" t="s">
        <v>60</v>
      </c>
      <c r="C22" s="58"/>
      <c r="D22" s="58"/>
      <c r="E22" s="58"/>
      <c r="F22" s="59"/>
      <c r="G22" s="57" t="s">
        <v>61</v>
      </c>
      <c r="H22" s="58"/>
      <c r="I22" s="59"/>
      <c r="J22" s="23" t="s">
        <v>50</v>
      </c>
      <c r="K22" s="23">
        <v>3</v>
      </c>
      <c r="L22" s="52">
        <v>478000</v>
      </c>
      <c r="M22" s="53"/>
      <c r="N22" s="54"/>
      <c r="O22" s="52">
        <f t="shared" si="6"/>
        <v>1434000</v>
      </c>
      <c r="P22" s="54"/>
      <c r="Q22" s="60"/>
      <c r="R22" s="61"/>
      <c r="T22" s="3" t="s">
        <v>51</v>
      </c>
      <c r="U22" s="3">
        <v>478000</v>
      </c>
      <c r="V22" s="4"/>
      <c r="W22" s="3">
        <f t="shared" si="16"/>
        <v>478000</v>
      </c>
      <c r="X22" s="3">
        <f t="shared" si="17"/>
        <v>1434000</v>
      </c>
      <c r="Y22" s="5"/>
      <c r="Z22" s="6">
        <f t="shared" si="18"/>
        <v>478000</v>
      </c>
      <c r="AA22" s="7">
        <f t="shared" si="19"/>
        <v>0</v>
      </c>
      <c r="AB22" s="4"/>
      <c r="AC22" s="7">
        <f t="shared" si="5"/>
        <v>0</v>
      </c>
    </row>
    <row r="23" spans="1:29" s="21" customFormat="1" ht="21" customHeight="1">
      <c r="A23" s="22">
        <v>8</v>
      </c>
      <c r="B23" s="57" t="s">
        <v>62</v>
      </c>
      <c r="C23" s="58"/>
      <c r="D23" s="58"/>
      <c r="E23" s="58"/>
      <c r="F23" s="59"/>
      <c r="G23" s="57" t="s">
        <v>63</v>
      </c>
      <c r="H23" s="58"/>
      <c r="I23" s="59"/>
      <c r="J23" s="23" t="s">
        <v>50</v>
      </c>
      <c r="K23" s="23">
        <v>4</v>
      </c>
      <c r="L23" s="52">
        <v>467000</v>
      </c>
      <c r="M23" s="53"/>
      <c r="N23" s="54"/>
      <c r="O23" s="52">
        <f t="shared" si="0"/>
        <v>1868000</v>
      </c>
      <c r="P23" s="54"/>
      <c r="Q23" s="60"/>
      <c r="R23" s="61"/>
      <c r="T23" s="3" t="s">
        <v>51</v>
      </c>
      <c r="U23" s="3">
        <v>467000</v>
      </c>
      <c r="V23" s="4"/>
      <c r="W23" s="3">
        <f t="shared" ref="W23" si="20">U23-(U23*V23)</f>
        <v>467000</v>
      </c>
      <c r="X23" s="3">
        <f t="shared" ref="X23" si="21">W23*K23</f>
        <v>1868000</v>
      </c>
      <c r="Y23" s="5"/>
      <c r="Z23" s="6">
        <f t="shared" ref="Z23" si="22">W23+(W23*Y23)</f>
        <v>467000</v>
      </c>
      <c r="AA23" s="7">
        <f t="shared" ref="AA23" si="23">O23-X23</f>
        <v>0</v>
      </c>
      <c r="AB23" s="4"/>
      <c r="AC23" s="7">
        <f t="shared" si="5"/>
        <v>0</v>
      </c>
    </row>
    <row r="24" spans="1:29" s="21" customFormat="1" ht="21" customHeight="1">
      <c r="A24" s="22">
        <v>9</v>
      </c>
      <c r="B24" s="57" t="s">
        <v>64</v>
      </c>
      <c r="C24" s="58"/>
      <c r="D24" s="58"/>
      <c r="E24" s="58"/>
      <c r="F24" s="59"/>
      <c r="G24" s="57" t="s">
        <v>65</v>
      </c>
      <c r="H24" s="58"/>
      <c r="I24" s="59"/>
      <c r="J24" s="23" t="s">
        <v>50</v>
      </c>
      <c r="K24" s="23">
        <v>1</v>
      </c>
      <c r="L24" s="52">
        <v>8287000</v>
      </c>
      <c r="M24" s="53"/>
      <c r="N24" s="54"/>
      <c r="O24" s="52">
        <f t="shared" ref="O24:O28" si="24">L24*K24</f>
        <v>8287000</v>
      </c>
      <c r="P24" s="54"/>
      <c r="Q24" s="60"/>
      <c r="R24" s="61"/>
      <c r="T24" s="3" t="s">
        <v>51</v>
      </c>
      <c r="U24" s="3">
        <v>8287000</v>
      </c>
      <c r="V24" s="4"/>
      <c r="W24" s="3">
        <f t="shared" ref="W24:W28" si="25">U24-(U24*V24)</f>
        <v>8287000</v>
      </c>
      <c r="X24" s="3">
        <f t="shared" ref="X24:X28" si="26">W24*K24</f>
        <v>8287000</v>
      </c>
      <c r="Y24" s="5"/>
      <c r="Z24" s="6">
        <f t="shared" ref="Z24:Z28" si="27">W24+(W24*Y24)</f>
        <v>8287000</v>
      </c>
      <c r="AA24" s="7">
        <f t="shared" ref="AA24:AA28" si="28">O24-X24</f>
        <v>0</v>
      </c>
      <c r="AB24" s="4"/>
      <c r="AC24" s="7">
        <f t="shared" si="5"/>
        <v>0</v>
      </c>
    </row>
    <row r="25" spans="1:29" s="21" customFormat="1" ht="21" customHeight="1">
      <c r="A25" s="22">
        <v>10</v>
      </c>
      <c r="B25" s="57" t="s">
        <v>66</v>
      </c>
      <c r="C25" s="58"/>
      <c r="D25" s="58"/>
      <c r="E25" s="58"/>
      <c r="F25" s="59"/>
      <c r="G25" s="57" t="s">
        <v>67</v>
      </c>
      <c r="H25" s="58"/>
      <c r="I25" s="59"/>
      <c r="J25" s="23" t="s">
        <v>50</v>
      </c>
      <c r="K25" s="23">
        <v>1</v>
      </c>
      <c r="L25" s="52">
        <v>11698000</v>
      </c>
      <c r="M25" s="53"/>
      <c r="N25" s="54"/>
      <c r="O25" s="52">
        <f t="shared" si="24"/>
        <v>11698000</v>
      </c>
      <c r="P25" s="54"/>
      <c r="Q25" s="60"/>
      <c r="R25" s="61"/>
      <c r="T25" s="3" t="s">
        <v>51</v>
      </c>
      <c r="U25" s="3">
        <v>11698000</v>
      </c>
      <c r="V25" s="4"/>
      <c r="W25" s="3">
        <f t="shared" si="25"/>
        <v>11698000</v>
      </c>
      <c r="X25" s="3">
        <f t="shared" si="26"/>
        <v>11698000</v>
      </c>
      <c r="Y25" s="5"/>
      <c r="Z25" s="6">
        <f t="shared" si="27"/>
        <v>11698000</v>
      </c>
      <c r="AA25" s="7">
        <f t="shared" si="28"/>
        <v>0</v>
      </c>
      <c r="AB25" s="4"/>
      <c r="AC25" s="7">
        <f t="shared" si="5"/>
        <v>0</v>
      </c>
    </row>
    <row r="26" spans="1:29" s="21" customFormat="1" ht="21" customHeight="1">
      <c r="A26" s="22">
        <v>11</v>
      </c>
      <c r="B26" s="57" t="s">
        <v>66</v>
      </c>
      <c r="C26" s="58"/>
      <c r="D26" s="58"/>
      <c r="E26" s="58"/>
      <c r="F26" s="59"/>
      <c r="G26" s="57" t="s">
        <v>67</v>
      </c>
      <c r="H26" s="58"/>
      <c r="I26" s="59"/>
      <c r="J26" s="23" t="s">
        <v>50</v>
      </c>
      <c r="K26" s="23">
        <v>1</v>
      </c>
      <c r="L26" s="52">
        <v>11698000</v>
      </c>
      <c r="M26" s="53"/>
      <c r="N26" s="54"/>
      <c r="O26" s="52">
        <f t="shared" si="24"/>
        <v>11698000</v>
      </c>
      <c r="P26" s="54"/>
      <c r="Q26" s="60"/>
      <c r="R26" s="61"/>
      <c r="T26" s="3" t="s">
        <v>51</v>
      </c>
      <c r="U26" s="3">
        <v>11698000</v>
      </c>
      <c r="V26" s="4"/>
      <c r="W26" s="3">
        <f t="shared" si="25"/>
        <v>11698000</v>
      </c>
      <c r="X26" s="3">
        <f t="shared" si="26"/>
        <v>11698000</v>
      </c>
      <c r="Y26" s="5"/>
      <c r="Z26" s="6">
        <f t="shared" si="27"/>
        <v>11698000</v>
      </c>
      <c r="AA26" s="7">
        <f t="shared" si="28"/>
        <v>0</v>
      </c>
      <c r="AB26" s="4"/>
      <c r="AC26" s="7">
        <f t="shared" si="5"/>
        <v>0</v>
      </c>
    </row>
    <row r="27" spans="1:29" s="21" customFormat="1" ht="21" customHeight="1">
      <c r="A27" s="22">
        <v>12</v>
      </c>
      <c r="B27" s="57" t="s">
        <v>66</v>
      </c>
      <c r="C27" s="58"/>
      <c r="D27" s="58"/>
      <c r="E27" s="58"/>
      <c r="F27" s="59"/>
      <c r="G27" s="57" t="s">
        <v>67</v>
      </c>
      <c r="H27" s="58"/>
      <c r="I27" s="59"/>
      <c r="J27" s="23" t="s">
        <v>50</v>
      </c>
      <c r="K27" s="23">
        <v>1</v>
      </c>
      <c r="L27" s="52">
        <v>11698000</v>
      </c>
      <c r="M27" s="53"/>
      <c r="N27" s="54"/>
      <c r="O27" s="52">
        <f t="shared" si="24"/>
        <v>11698000</v>
      </c>
      <c r="P27" s="54"/>
      <c r="Q27" s="60"/>
      <c r="R27" s="61"/>
      <c r="T27" s="3" t="s">
        <v>51</v>
      </c>
      <c r="U27" s="3">
        <v>11698000</v>
      </c>
      <c r="V27" s="4"/>
      <c r="W27" s="3">
        <f t="shared" si="25"/>
        <v>11698000</v>
      </c>
      <c r="X27" s="3">
        <f t="shared" si="26"/>
        <v>11698000</v>
      </c>
      <c r="Y27" s="5"/>
      <c r="Z27" s="6">
        <f t="shared" si="27"/>
        <v>11698000</v>
      </c>
      <c r="AA27" s="7">
        <f t="shared" si="28"/>
        <v>0</v>
      </c>
      <c r="AB27" s="4"/>
      <c r="AC27" s="7">
        <f t="shared" si="5"/>
        <v>0</v>
      </c>
    </row>
    <row r="28" spans="1:29" s="21" customFormat="1" ht="21" customHeight="1">
      <c r="A28" s="22">
        <v>13</v>
      </c>
      <c r="B28" s="57" t="s">
        <v>66</v>
      </c>
      <c r="C28" s="58"/>
      <c r="D28" s="58"/>
      <c r="E28" s="58"/>
      <c r="F28" s="59"/>
      <c r="G28" s="57" t="s">
        <v>67</v>
      </c>
      <c r="H28" s="58"/>
      <c r="I28" s="59"/>
      <c r="J28" s="23" t="s">
        <v>50</v>
      </c>
      <c r="K28" s="23">
        <v>1</v>
      </c>
      <c r="L28" s="52">
        <v>11698000</v>
      </c>
      <c r="M28" s="53"/>
      <c r="N28" s="54"/>
      <c r="O28" s="52">
        <f t="shared" si="24"/>
        <v>11698000</v>
      </c>
      <c r="P28" s="54"/>
      <c r="Q28" s="60"/>
      <c r="R28" s="61"/>
      <c r="T28" s="3" t="s">
        <v>51</v>
      </c>
      <c r="U28" s="3">
        <v>11698000</v>
      </c>
      <c r="V28" s="4"/>
      <c r="W28" s="3">
        <f t="shared" si="25"/>
        <v>11698000</v>
      </c>
      <c r="X28" s="3">
        <f t="shared" si="26"/>
        <v>11698000</v>
      </c>
      <c r="Y28" s="5"/>
      <c r="Z28" s="6">
        <f t="shared" si="27"/>
        <v>11698000</v>
      </c>
      <c r="AA28" s="7">
        <f t="shared" si="28"/>
        <v>0</v>
      </c>
      <c r="AB28" s="4"/>
      <c r="AC28" s="7">
        <f t="shared" si="5"/>
        <v>0</v>
      </c>
    </row>
    <row r="29" spans="1:29" s="21" customFormat="1" ht="21" customHeight="1">
      <c r="A29" s="22">
        <v>14</v>
      </c>
      <c r="B29" s="57" t="s">
        <v>66</v>
      </c>
      <c r="C29" s="58"/>
      <c r="D29" s="58"/>
      <c r="E29" s="58"/>
      <c r="F29" s="59"/>
      <c r="G29" s="57" t="s">
        <v>67</v>
      </c>
      <c r="H29" s="58"/>
      <c r="I29" s="59"/>
      <c r="J29" s="23" t="s">
        <v>50</v>
      </c>
      <c r="K29" s="23">
        <v>1</v>
      </c>
      <c r="L29" s="52">
        <v>11698000</v>
      </c>
      <c r="M29" s="53"/>
      <c r="N29" s="54"/>
      <c r="O29" s="52">
        <f t="shared" ref="O29:O30" si="29">L29*K29</f>
        <v>11698000</v>
      </c>
      <c r="P29" s="54"/>
      <c r="Q29" s="60"/>
      <c r="R29" s="61"/>
      <c r="T29" s="3" t="s">
        <v>51</v>
      </c>
      <c r="U29" s="3">
        <v>11698000</v>
      </c>
      <c r="V29" s="4"/>
      <c r="W29" s="3">
        <f t="shared" ref="W29:W30" si="30">U29-(U29*V29)</f>
        <v>11698000</v>
      </c>
      <c r="X29" s="3">
        <f t="shared" ref="X29:X30" si="31">W29*K29</f>
        <v>11698000</v>
      </c>
      <c r="Y29" s="5"/>
      <c r="Z29" s="6">
        <f t="shared" ref="Z29:Z30" si="32">W29+(W29*Y29)</f>
        <v>11698000</v>
      </c>
      <c r="AA29" s="7">
        <f t="shared" ref="AA29:AA30" si="33">O29-X29</f>
        <v>0</v>
      </c>
      <c r="AB29" s="4"/>
      <c r="AC29" s="7">
        <f t="shared" si="5"/>
        <v>0</v>
      </c>
    </row>
    <row r="30" spans="1:29" s="21" customFormat="1" ht="21" customHeight="1">
      <c r="A30" s="22">
        <v>15</v>
      </c>
      <c r="B30" s="57" t="s">
        <v>66</v>
      </c>
      <c r="C30" s="58"/>
      <c r="D30" s="58"/>
      <c r="E30" s="58"/>
      <c r="F30" s="59"/>
      <c r="G30" s="57" t="s">
        <v>67</v>
      </c>
      <c r="H30" s="58"/>
      <c r="I30" s="59"/>
      <c r="J30" s="23" t="s">
        <v>50</v>
      </c>
      <c r="K30" s="23">
        <v>10</v>
      </c>
      <c r="L30" s="52">
        <v>11698000</v>
      </c>
      <c r="M30" s="53"/>
      <c r="N30" s="53"/>
      <c r="O30" s="52">
        <f t="shared" si="29"/>
        <v>116980000</v>
      </c>
      <c r="P30" s="54"/>
      <c r="Q30" s="55"/>
      <c r="R30" s="56"/>
      <c r="T30" s="3" t="s">
        <v>51</v>
      </c>
      <c r="U30" s="3">
        <v>11698000</v>
      </c>
      <c r="V30" s="4"/>
      <c r="W30" s="3">
        <f t="shared" si="30"/>
        <v>11698000</v>
      </c>
      <c r="X30" s="3">
        <f t="shared" si="31"/>
        <v>116980000</v>
      </c>
      <c r="Y30" s="5"/>
      <c r="Z30" s="6">
        <f t="shared" si="32"/>
        <v>11698000</v>
      </c>
      <c r="AA30" s="7">
        <f t="shared" si="33"/>
        <v>0</v>
      </c>
      <c r="AB30" s="4"/>
      <c r="AC30" s="7">
        <f t="shared" si="5"/>
        <v>0</v>
      </c>
    </row>
    <row r="31" spans="1:29" ht="20.100000000000001" customHeight="1">
      <c r="A31" s="62" t="s">
        <v>68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4">
        <f>SUM(O16:P30)</f>
        <v>206683000</v>
      </c>
      <c r="M31" s="65"/>
      <c r="N31" s="65"/>
      <c r="O31" s="65"/>
      <c r="P31" s="65"/>
      <c r="Q31" s="65"/>
      <c r="R31" s="66"/>
      <c r="AA31" s="24">
        <f>SUM(AA16:AA30)</f>
        <v>768265000</v>
      </c>
      <c r="AC31" s="24">
        <f>SUM(AC16:AC30)</f>
        <v>0</v>
      </c>
    </row>
    <row r="32" spans="1:29" ht="20.100000000000001" customHeight="1">
      <c r="A32" s="67" t="s">
        <v>69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9">
        <f>L31*0.1</f>
        <v>20668300</v>
      </c>
      <c r="M32" s="70"/>
      <c r="N32" s="70"/>
      <c r="O32" s="70"/>
      <c r="P32" s="70"/>
      <c r="Q32" s="70"/>
      <c r="R32" s="71"/>
    </row>
    <row r="33" spans="1:18" ht="20.100000000000001" customHeight="1">
      <c r="A33" s="72" t="s">
        <v>70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>
        <f>SUM(L31:R32)</f>
        <v>227351300</v>
      </c>
      <c r="M33" s="75"/>
      <c r="N33" s="75"/>
      <c r="O33" s="75"/>
      <c r="P33" s="75"/>
      <c r="Q33" s="75"/>
      <c r="R33" s="76"/>
    </row>
    <row r="34" spans="1:18" ht="12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25"/>
      <c r="M34" s="25"/>
      <c r="Q34" s="26"/>
      <c r="R34" s="26"/>
    </row>
    <row r="35" spans="1:18" ht="21" customHeight="1">
      <c r="A35" s="77" t="s">
        <v>71</v>
      </c>
      <c r="B35" s="77"/>
      <c r="C35" s="77"/>
      <c r="D35" s="77"/>
      <c r="E35" s="77"/>
    </row>
    <row r="36" spans="1:18" ht="17.45" customHeight="1">
      <c r="A36" s="78" t="s">
        <v>72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80"/>
    </row>
    <row r="37" spans="1:18" ht="17.45" customHeight="1">
      <c r="A37" s="81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3"/>
    </row>
    <row r="38" spans="1:18" ht="17.45" customHeight="1">
      <c r="A38" s="81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3"/>
    </row>
    <row r="39" spans="1:18" ht="17.45" customHeight="1">
      <c r="A39" s="81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3"/>
    </row>
    <row r="40" spans="1:18" ht="17.45" customHeight="1">
      <c r="A40" s="81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3"/>
    </row>
    <row r="41" spans="1:18" ht="17.45" customHeight="1">
      <c r="A41" s="84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6"/>
    </row>
  </sheetData>
  <sheetProtection formatCells="0" formatColumns="0" formatRows="0" insertColumns="0" insertRows="0" deleteColumns="0" deleteRows="0" sort="0"/>
  <mergeCells count="123">
    <mergeCell ref="A33:K33"/>
    <mergeCell ref="L33:R33"/>
    <mergeCell ref="A35:E35"/>
    <mergeCell ref="A36:R41"/>
    <mergeCell ref="B30:F30"/>
    <mergeCell ref="G30:I30"/>
    <mergeCell ref="L30:N30"/>
    <mergeCell ref="O30:P30"/>
    <mergeCell ref="Q30:R30"/>
    <mergeCell ref="A31:K31"/>
    <mergeCell ref="L31:R31"/>
    <mergeCell ref="A32:K32"/>
    <mergeCell ref="L32:R32"/>
    <mergeCell ref="B28:F28"/>
    <mergeCell ref="G28:I28"/>
    <mergeCell ref="L28:N28"/>
    <mergeCell ref="O28:P28"/>
    <mergeCell ref="Q28:R28"/>
    <mergeCell ref="B29:F29"/>
    <mergeCell ref="G29:I29"/>
    <mergeCell ref="L29:N29"/>
    <mergeCell ref="O29:P29"/>
    <mergeCell ref="Q29:R29"/>
    <mergeCell ref="B26:F26"/>
    <mergeCell ref="G26:I26"/>
    <mergeCell ref="L26:N26"/>
    <mergeCell ref="O26:P26"/>
    <mergeCell ref="Q26:R26"/>
    <mergeCell ref="B27:F27"/>
    <mergeCell ref="G27:I27"/>
    <mergeCell ref="L27:N27"/>
    <mergeCell ref="O27:P27"/>
    <mergeCell ref="Q27:R27"/>
    <mergeCell ref="B24:F24"/>
    <mergeCell ref="G24:I24"/>
    <mergeCell ref="L24:N24"/>
    <mergeCell ref="O24:P24"/>
    <mergeCell ref="Q24:R24"/>
    <mergeCell ref="B25:F25"/>
    <mergeCell ref="G25:I25"/>
    <mergeCell ref="L25:N25"/>
    <mergeCell ref="O25:P25"/>
    <mergeCell ref="Q25:R25"/>
    <mergeCell ref="B22:F22"/>
    <mergeCell ref="G22:I22"/>
    <mergeCell ref="L22:N22"/>
    <mergeCell ref="O22:P22"/>
    <mergeCell ref="Q22:R22"/>
    <mergeCell ref="B23:F23"/>
    <mergeCell ref="G23:I23"/>
    <mergeCell ref="L23:N23"/>
    <mergeCell ref="O23:P23"/>
    <mergeCell ref="Q23:R23"/>
    <mergeCell ref="B20:F20"/>
    <mergeCell ref="G20:I20"/>
    <mergeCell ref="L20:N20"/>
    <mergeCell ref="O20:P20"/>
    <mergeCell ref="Q20:R20"/>
    <mergeCell ref="B21:F21"/>
    <mergeCell ref="G21:I21"/>
    <mergeCell ref="L21:N21"/>
    <mergeCell ref="O21:P21"/>
    <mergeCell ref="Q21:R21"/>
    <mergeCell ref="B18:F18"/>
    <mergeCell ref="G18:I18"/>
    <mergeCell ref="L18:N18"/>
    <mergeCell ref="O18:P18"/>
    <mergeCell ref="Q18:R18"/>
    <mergeCell ref="B19:F19"/>
    <mergeCell ref="G19:I19"/>
    <mergeCell ref="L19:N19"/>
    <mergeCell ref="O19:P19"/>
    <mergeCell ref="Q19:R19"/>
    <mergeCell ref="B16:F16"/>
    <mergeCell ref="G16:I16"/>
    <mergeCell ref="L16:N16"/>
    <mergeCell ref="O16:P16"/>
    <mergeCell ref="Q16:R16"/>
    <mergeCell ref="B17:F17"/>
    <mergeCell ref="G17:I17"/>
    <mergeCell ref="L17:N17"/>
    <mergeCell ref="O17:P17"/>
    <mergeCell ref="Q17:R17"/>
    <mergeCell ref="A13:C13"/>
    <mergeCell ref="D13:I13"/>
    <mergeCell ref="M13:O13"/>
    <mergeCell ref="F14:R14"/>
    <mergeCell ref="B15:F15"/>
    <mergeCell ref="G15:I15"/>
    <mergeCell ref="L15:N15"/>
    <mergeCell ref="O15:P15"/>
    <mergeCell ref="Q15:R15"/>
    <mergeCell ref="A11:C11"/>
    <mergeCell ref="D11:G11"/>
    <mergeCell ref="J11:L11"/>
    <mergeCell ref="M11:N11"/>
    <mergeCell ref="P11:R11"/>
    <mergeCell ref="A12:G12"/>
    <mergeCell ref="J12:L12"/>
    <mergeCell ref="M12:N12"/>
    <mergeCell ref="P12:R12"/>
    <mergeCell ref="A9:C9"/>
    <mergeCell ref="D9:G9"/>
    <mergeCell ref="J9:L9"/>
    <mergeCell ref="M9:N9"/>
    <mergeCell ref="P9:R9"/>
    <mergeCell ref="A10:C10"/>
    <mergeCell ref="D10:G10"/>
    <mergeCell ref="J10:L10"/>
    <mergeCell ref="M10:N10"/>
    <mergeCell ref="P10:R10"/>
    <mergeCell ref="A1:R2"/>
    <mergeCell ref="A6:G6"/>
    <mergeCell ref="J6:L6"/>
    <mergeCell ref="A7:C7"/>
    <mergeCell ref="D7:G7"/>
    <mergeCell ref="J7:L7"/>
    <mergeCell ref="M7:N7"/>
    <mergeCell ref="P7:Q7"/>
    <mergeCell ref="A8:C8"/>
    <mergeCell ref="D8:G8"/>
    <mergeCell ref="J8:L8"/>
    <mergeCell ref="M8:R8"/>
  </mergeCells>
  <phoneticPr fontId="15" type="noConversion"/>
  <printOptions horizontalCentered="1"/>
  <pageMargins left="0.27559055118110237" right="0.23622047244094491" top="0.62992125984251968" bottom="0.35433070866141736" header="0" footer="0"/>
  <pageSetup paperSize="9" scale="74" orientation="portrait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2014-06-03T09:26:28Z</cp:lastPrinted>
  <dcterms:created xsi:type="dcterms:W3CDTF">2006-06-05T04:05:31Z</dcterms:created>
  <dcterms:modified xsi:type="dcterms:W3CDTF">2026-03-20T02:16:58Z</dcterms:modified>
</cp:coreProperties>
</file>